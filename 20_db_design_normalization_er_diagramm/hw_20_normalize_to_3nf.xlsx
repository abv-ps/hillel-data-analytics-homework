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gdan\Documents\"/>
    </mc:Choice>
  </mc:AlternateContent>
  <xr:revisionPtr revIDLastSave="0" documentId="13_ncr:1_{5CD25AFD-65FB-4E6D-9739-D4CA6589A8E9}" xr6:coauthVersionLast="47" xr6:coauthVersionMax="47" xr10:uidLastSave="{00000000-0000-0000-0000-000000000000}"/>
  <bookViews>
    <workbookView xWindow="-108" yWindow="-108" windowWidth="30936" windowHeight="16896" activeTab="3" xr2:uid="{6AE26EEE-DD38-4377-A3F8-5B2BAA3A6161}"/>
  </bookViews>
  <sheets>
    <sheet name="не нормалізована таблиця" sheetId="1" r:id="rId1"/>
    <sheet name="1NF" sheetId="2" r:id="rId2"/>
    <sheet name="2NF" sheetId="3" r:id="rId3"/>
    <sheet name="3NF" sheetId="4" r:id="rId4"/>
  </sheets>
  <definedNames>
    <definedName name="_xlnm._FilterDatabase" localSheetId="2" hidden="1">'2NF'!$A$1:$M$8</definedName>
    <definedName name="_xlnm._FilterDatabase" localSheetId="3" hidden="1">'3NF'!$A$1:$M$8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2" l="1"/>
  <c r="B14" i="2"/>
  <c r="C14" i="2"/>
  <c r="D14" i="2"/>
  <c r="E14" i="2"/>
  <c r="F14" i="2"/>
  <c r="G14" i="2"/>
  <c r="H14" i="2"/>
  <c r="I14" i="2"/>
  <c r="J14" i="2"/>
  <c r="K14" i="2"/>
  <c r="L14" i="2"/>
  <c r="M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</calcChain>
</file>

<file path=xl/sharedStrings.xml><?xml version="1.0" encoding="utf-8"?>
<sst xmlns="http://schemas.openxmlformats.org/spreadsheetml/2006/main" count="421" uniqueCount="86">
  <si>
    <t>student_id</t>
  </si>
  <si>
    <t>student_name</t>
  </si>
  <si>
    <t>student_email</t>
  </si>
  <si>
    <t>course_id</t>
  </si>
  <si>
    <t>course_name</t>
  </si>
  <si>
    <t>instructor_1_name</t>
  </si>
  <si>
    <t>instructor_1_email</t>
  </si>
  <si>
    <t>instructor_2_name</t>
  </si>
  <si>
    <t>instructor_2_email</t>
  </si>
  <si>
    <t>class_date</t>
  </si>
  <si>
    <t>homework_id</t>
  </si>
  <si>
    <t>homework_description</t>
  </si>
  <si>
    <t>grade</t>
  </si>
  <si>
    <t>Alice Smith</t>
  </si>
  <si>
    <t>alice@example.com</t>
  </si>
  <si>
    <t>SQL Fundamentals</t>
  </si>
  <si>
    <t>Mr. Johnson</t>
  </si>
  <si>
    <t>Johnson@example.com</t>
  </si>
  <si>
    <t>Ms. Bardugo</t>
  </si>
  <si>
    <t>Bardugo@example.com</t>
  </si>
  <si>
    <t>Basic SELECT queries</t>
  </si>
  <si>
    <t>Bob Brown</t>
  </si>
  <si>
    <t>bob@example.com</t>
  </si>
  <si>
    <t>Python Basics</t>
  </si>
  <si>
    <t>Ms. Lee</t>
  </si>
  <si>
    <t>Lee@example.com</t>
  </si>
  <si>
    <t>Intro to Python</t>
  </si>
  <si>
    <t>88.2</t>
  </si>
  <si>
    <t>Clara Green</t>
  </si>
  <si>
    <t>clara@example.com</t>
  </si>
  <si>
    <t>Variables and data types</t>
  </si>
  <si>
    <t>#204</t>
  </si>
  <si>
    <t>JOIN operations</t>
  </si>
  <si>
    <t>Зміни в таблиці:</t>
  </si>
  <si>
    <t>instructor_name</t>
  </si>
  <si>
    <t>instructor_email</t>
  </si>
  <si>
    <t>Тепер кожен стовпець містить атомарні значення з однаковими типами, кожен рядок можна унікально ідентифікувати, а порядок рядків чи стовців не має значення.</t>
  </si>
  <si>
    <t>Для стовпців homework_id та grade приведені всі значення до однакових типів даних - INT та FLOAT відповідно.</t>
  </si>
  <si>
    <t>Students</t>
  </si>
  <si>
    <t>Student_Emails</t>
  </si>
  <si>
    <t>РК</t>
  </si>
  <si>
    <r>
      <t xml:space="preserve">FK --&gt; </t>
    </r>
    <r>
      <rPr>
        <sz val="10"/>
        <color theme="1"/>
        <rFont val="Arial Unicode MS"/>
      </rPr>
      <t>student_id</t>
    </r>
    <r>
      <rPr>
        <sz val="11"/>
        <color theme="1"/>
        <rFont val="Calibri"/>
        <family val="2"/>
        <charset val="204"/>
        <scheme val="minor"/>
      </rPr>
      <t xml:space="preserve"> --&gt; Students</t>
    </r>
  </si>
  <si>
    <t>у студента може бути кілька email</t>
  </si>
  <si>
    <t>Courses</t>
  </si>
  <si>
    <t>Course_Instructors</t>
  </si>
  <si>
    <r>
      <t xml:space="preserve">FK --&gt; </t>
    </r>
    <r>
      <rPr>
        <sz val="10"/>
        <color theme="1"/>
        <rFont val="Arial Unicode MS"/>
      </rPr>
      <t>course_id</t>
    </r>
    <r>
      <rPr>
        <sz val="11"/>
        <color theme="1"/>
        <rFont val="Calibri"/>
        <family val="2"/>
        <charset val="204"/>
        <scheme val="minor"/>
      </rPr>
      <t xml:space="preserve"> --&gt; Courses</t>
    </r>
  </si>
  <si>
    <r>
      <t xml:space="preserve">many </t>
    </r>
    <r>
      <rPr>
        <b/>
        <sz val="11"/>
        <color theme="1"/>
        <rFont val="Calibri"/>
        <family val="2"/>
        <charset val="204"/>
        <scheme val="minor"/>
      </rPr>
      <t xml:space="preserve">Couses </t>
    </r>
    <r>
      <rPr>
        <sz val="11"/>
        <color theme="1"/>
        <rFont val="Calibri"/>
        <family val="2"/>
        <charset val="204"/>
        <scheme val="minor"/>
      </rPr>
      <t xml:space="preserve">&lt;--&gt; to many </t>
    </r>
    <r>
      <rPr>
        <b/>
        <sz val="11"/>
        <color theme="1"/>
        <rFont val="Calibri"/>
        <family val="2"/>
        <charset val="204"/>
        <scheme val="minor"/>
      </rPr>
      <t>Course_Instructors</t>
    </r>
  </si>
  <si>
    <t>Student_Courses</t>
  </si>
  <si>
    <t>FK</t>
  </si>
  <si>
    <t>student_id --&gt; Students</t>
  </si>
  <si>
    <t>course_id --&gt; Courses</t>
  </si>
  <si>
    <t>Course_Classes</t>
  </si>
  <si>
    <t>FK --&gt; course_id --&gt; Courses</t>
  </si>
  <si>
    <t>Student_Homework</t>
  </si>
  <si>
    <t>homework_id --&gt; Course_Classes</t>
  </si>
  <si>
    <t>Один студент має багато email</t>
  </si>
  <si>
    <t>1:N</t>
  </si>
  <si>
    <t>1:N (1 курс до багатьох студентів)</t>
  </si>
  <si>
    <t>1:N (1 курс до багатьох викладачів)</t>
  </si>
  <si>
    <t>1:N (1 курс до багатьох занять/домашок)</t>
  </si>
  <si>
    <t>1:N (1 домашка до багатьох студентів)</t>
  </si>
  <si>
    <t>1:N (1 студент до багатьох домашок)</t>
  </si>
  <si>
    <t>instructor_id</t>
  </si>
  <si>
    <t>Instructors</t>
  </si>
  <si>
    <t>Homeworks</t>
  </si>
  <si>
    <r>
      <rPr>
        <b/>
        <sz val="11"/>
        <color theme="1"/>
        <rFont val="Calibri"/>
        <family val="2"/>
        <charset val="204"/>
        <scheme val="minor"/>
      </rPr>
      <t>(M:N)</t>
    </r>
    <r>
      <rPr>
        <sz val="11"/>
        <color theme="1"/>
        <rFont val="Calibri"/>
        <family val="2"/>
        <charset val="204"/>
        <scheme val="minor"/>
      </rPr>
      <t xml:space="preserve"> Courses — Course_Instructors — Instructors</t>
    </r>
  </si>
  <si>
    <t>(N :1) багато занять можуть мати однаковий опис домашки</t>
  </si>
  <si>
    <r>
      <rPr>
        <b/>
        <sz val="11"/>
        <color theme="1"/>
        <rFont val="Calibri"/>
        <family val="2"/>
        <charset val="204"/>
        <scheme val="minor"/>
      </rPr>
      <t>M:N</t>
    </r>
    <r>
      <rPr>
        <sz val="11"/>
        <color theme="1"/>
        <rFont val="Calibri"/>
        <family val="2"/>
        <charset val="204"/>
        <scheme val="minor"/>
      </rPr>
      <t xml:space="preserve"> Students — Student_Courses — Courses</t>
    </r>
  </si>
  <si>
    <r>
      <rPr>
        <b/>
        <sz val="11"/>
        <color theme="1"/>
        <rFont val="Calibri"/>
        <family val="2"/>
        <charset val="204"/>
        <scheme val="minor"/>
      </rPr>
      <t>M:N</t>
    </r>
    <r>
      <rPr>
        <sz val="11"/>
        <color theme="1"/>
        <rFont val="Calibri"/>
        <family val="2"/>
        <charset val="204"/>
        <scheme val="minor"/>
      </rPr>
      <t xml:space="preserve"> Students — Student_Homework — Homeworks</t>
    </r>
  </si>
  <si>
    <t>class_id</t>
  </si>
  <si>
    <t>Виніс інформацію про студентів в окрему таблицю Students, оскільки student_name залежить тільки від student_id</t>
  </si>
  <si>
    <t>e-mail в окрему таблицю, щоб усунути в основній дублювання резервних пошт студентів</t>
  </si>
  <si>
    <t>курси в таблицю Cources, оскільки їх назва залежить тільки від ID</t>
  </si>
  <si>
    <t>для реалізації many-to-many створив таблицю відношень ID студентів до ID курсів</t>
  </si>
  <si>
    <t>окерма таблиця для викладачів, щоб уникнути дублювання основної таблиці при кількох викладачах курсів</t>
  </si>
  <si>
    <t>окрема таблиця для оцінок, які залежать від id студента та id домашки</t>
  </si>
  <si>
    <t>Тепер кожен неключовий атрибут повністю залежить від усього первинного ключа, а не лише від його частини.</t>
  </si>
  <si>
    <t>тепер інформація про імя та емейл інструктора залежить від його ID</t>
  </si>
  <si>
    <t>і відповідно додав окрему звязуючу таблицю для курс ID та інструктор ID</t>
  </si>
  <si>
    <t>, яка реалізує звязок багато-до-багатьох між курсами та викладачами</t>
  </si>
  <si>
    <t>Для домашок створив окрему таблицю, щоб опис домашки не залежав від курсу чи дати</t>
  </si>
  <si>
    <t>FK --&gt; homework_id --&gt; Homeworks</t>
  </si>
  <si>
    <t>Course_Classes тепер не може задублювати описи домашок</t>
  </si>
  <si>
    <t xml:space="preserve">Транзитивні залежності усунені, усі неключові атрибути залежать тільки від первинного ключа </t>
  </si>
  <si>
    <t>і не залежать один від одного.</t>
  </si>
  <si>
    <t>Виніс інформацію про інструктора в окрему таблицю, щоб усунути його залежність від курса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</si>
</sst>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_-* #,##0.0_-;\-* #,##0.0_-;_-* &quot;-&quot;??_-;_-@_-"/>
    <numFmt numFmtId="170" formatCode="0.0"/>
  </numFmts>
  <fonts count="1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FFFF00"/>
      <name val="Arial"/>
      <family val="2"/>
      <charset val="204"/>
    </font>
    <font>
      <sz val="10"/>
      <color theme="1"/>
      <name val="Arial Unicode MS"/>
    </font>
    <font>
      <b/>
      <sz val="11"/>
      <color rgb="FF0070C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BC3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/>
    <xf numFmtId="1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4" borderId="1" xfId="0" applyFont="1" applyFill="1" applyBorder="1" applyAlignment="1"/>
    <xf numFmtId="14" fontId="4" fillId="4" borderId="1" xfId="0" applyNumberFormat="1" applyFont="1" applyFill="1" applyBorder="1" applyAlignment="1">
      <alignment horizontal="right"/>
    </xf>
    <xf numFmtId="168" fontId="4" fillId="3" borderId="1" xfId="1" applyNumberFormat="1" applyFont="1" applyFill="1" applyBorder="1" applyAlignment="1">
      <alignment horizontal="right"/>
    </xf>
    <xf numFmtId="168" fontId="4" fillId="4" borderId="1" xfId="1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0" fillId="0" borderId="2" xfId="0" applyBorder="1"/>
    <xf numFmtId="170" fontId="0" fillId="0" borderId="2" xfId="0" applyNumberFormat="1" applyBorder="1"/>
    <xf numFmtId="14" fontId="0" fillId="0" borderId="2" xfId="0" applyNumberFormat="1" applyBorder="1"/>
    <xf numFmtId="0" fontId="0" fillId="5" borderId="0" xfId="0" applyFill="1"/>
    <xf numFmtId="0" fontId="5" fillId="5" borderId="2" xfId="0" applyFont="1" applyFill="1" applyBorder="1" applyAlignment="1">
      <alignment horizontal="center"/>
    </xf>
    <xf numFmtId="0" fontId="7" fillId="6" borderId="0" xfId="0" applyFont="1" applyFill="1"/>
    <xf numFmtId="0" fontId="0" fillId="0" borderId="0" xfId="0" applyFill="1" applyBorder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left" vertical="top"/>
    </xf>
  </cellXfs>
  <cellStyles count="2">
    <cellStyle name="Обычный" xfId="0" builtinId="0"/>
    <cellStyle name="Финансовый" xfId="1" builtinId="3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12</xdr:row>
      <xdr:rowOff>68580</xdr:rowOff>
    </xdr:from>
    <xdr:to>
      <xdr:col>1</xdr:col>
      <xdr:colOff>899160</xdr:colOff>
      <xdr:row>17</xdr:row>
      <xdr:rowOff>144780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A4DF49B-C125-5E07-3B1A-5838531C9E2F}"/>
            </a:ext>
          </a:extLst>
        </xdr:cNvPr>
        <xdr:cNvCxnSpPr/>
      </xdr:nvCxnSpPr>
      <xdr:spPr>
        <a:xfrm flipH="1">
          <a:off x="426720" y="2324100"/>
          <a:ext cx="1181100" cy="9906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472440</xdr:colOff>
      <xdr:row>16</xdr:row>
      <xdr:rowOff>53340</xdr:rowOff>
    </xdr:from>
    <xdr:to>
      <xdr:col>2</xdr:col>
      <xdr:colOff>1028700</xdr:colOff>
      <xdr:row>28</xdr:row>
      <xdr:rowOff>129540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F4954184-5D6F-52A4-DE09-83A8A7D7DFBA}"/>
            </a:ext>
          </a:extLst>
        </xdr:cNvPr>
        <xdr:cNvCxnSpPr/>
      </xdr:nvCxnSpPr>
      <xdr:spPr>
        <a:xfrm flipH="1">
          <a:off x="1181100" y="3055620"/>
          <a:ext cx="1485900" cy="2286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1074420</xdr:colOff>
      <xdr:row>16</xdr:row>
      <xdr:rowOff>91440</xdr:rowOff>
    </xdr:from>
    <xdr:to>
      <xdr:col>3</xdr:col>
      <xdr:colOff>967740</xdr:colOff>
      <xdr:row>18</xdr:row>
      <xdr:rowOff>144780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9709C361-6A9F-BD28-B7FD-E92FAA6DC14E}"/>
            </a:ext>
          </a:extLst>
        </xdr:cNvPr>
        <xdr:cNvCxnSpPr/>
      </xdr:nvCxnSpPr>
      <xdr:spPr>
        <a:xfrm>
          <a:off x="2712720" y="3093720"/>
          <a:ext cx="1112520" cy="4267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502920</xdr:colOff>
      <xdr:row>12</xdr:row>
      <xdr:rowOff>91440</xdr:rowOff>
    </xdr:from>
    <xdr:to>
      <xdr:col>5</xdr:col>
      <xdr:colOff>1082040</xdr:colOff>
      <xdr:row>17</xdr:row>
      <xdr:rowOff>99060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2A89ACC1-87DF-B06F-9D9B-91146EEE1C73}"/>
            </a:ext>
          </a:extLst>
        </xdr:cNvPr>
        <xdr:cNvCxnSpPr/>
      </xdr:nvCxnSpPr>
      <xdr:spPr>
        <a:xfrm flipH="1">
          <a:off x="5562600" y="2346960"/>
          <a:ext cx="579120" cy="9220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777240</xdr:colOff>
      <xdr:row>25</xdr:row>
      <xdr:rowOff>68580</xdr:rowOff>
    </xdr:from>
    <xdr:to>
      <xdr:col>6</xdr:col>
      <xdr:colOff>617220</xdr:colOff>
      <xdr:row>28</xdr:row>
      <xdr:rowOff>137160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5F4A76AE-2875-17E8-1BCD-EE621D3939CB}"/>
            </a:ext>
          </a:extLst>
        </xdr:cNvPr>
        <xdr:cNvCxnSpPr/>
      </xdr:nvCxnSpPr>
      <xdr:spPr>
        <a:xfrm>
          <a:off x="5836920" y="4701540"/>
          <a:ext cx="1051560" cy="617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639484</xdr:colOff>
      <xdr:row>33</xdr:row>
      <xdr:rowOff>172611</xdr:rowOff>
    </xdr:from>
    <xdr:to>
      <xdr:col>8</xdr:col>
      <xdr:colOff>740676</xdr:colOff>
      <xdr:row>40</xdr:row>
      <xdr:rowOff>137160</xdr:rowOff>
    </xdr:to>
    <xdr:sp macro="" textlink="">
      <xdr:nvSpPr>
        <xdr:cNvPr id="17" name="Полилиния: фигура 16">
          <a:extLst>
            <a:ext uri="{FF2B5EF4-FFF2-40B4-BE49-F238E27FC236}">
              <a16:creationId xmlns:a16="http://schemas.microsoft.com/office/drawing/2014/main" id="{29655364-DDE1-0AE6-036F-085A1ED425FE}"/>
            </a:ext>
          </a:extLst>
        </xdr:cNvPr>
        <xdr:cNvSpPr/>
      </xdr:nvSpPr>
      <xdr:spPr>
        <a:xfrm>
          <a:off x="2277784" y="6268611"/>
          <a:ext cx="7439252" cy="1244709"/>
        </a:xfrm>
        <a:custGeom>
          <a:avLst/>
          <a:gdLst>
            <a:gd name="connsiteX0" fmla="*/ 8216 w 7439252"/>
            <a:gd name="connsiteY0" fmla="*/ 696069 h 1244709"/>
            <a:gd name="connsiteX1" fmla="*/ 596 w 7439252"/>
            <a:gd name="connsiteY1" fmla="*/ 657969 h 1244709"/>
            <a:gd name="connsiteX2" fmla="*/ 69176 w 7439252"/>
            <a:gd name="connsiteY2" fmla="*/ 619869 h 1244709"/>
            <a:gd name="connsiteX3" fmla="*/ 92036 w 7439252"/>
            <a:gd name="connsiteY3" fmla="*/ 612249 h 1244709"/>
            <a:gd name="connsiteX4" fmla="*/ 122516 w 7439252"/>
            <a:gd name="connsiteY4" fmla="*/ 604629 h 1244709"/>
            <a:gd name="connsiteX5" fmla="*/ 160616 w 7439252"/>
            <a:gd name="connsiteY5" fmla="*/ 581769 h 1244709"/>
            <a:gd name="connsiteX6" fmla="*/ 198716 w 7439252"/>
            <a:gd name="connsiteY6" fmla="*/ 635109 h 1244709"/>
            <a:gd name="connsiteX7" fmla="*/ 252056 w 7439252"/>
            <a:gd name="connsiteY7" fmla="*/ 688449 h 1244709"/>
            <a:gd name="connsiteX8" fmla="*/ 267296 w 7439252"/>
            <a:gd name="connsiteY8" fmla="*/ 734169 h 1244709"/>
            <a:gd name="connsiteX9" fmla="*/ 259676 w 7439252"/>
            <a:gd name="connsiteY9" fmla="*/ 635109 h 1244709"/>
            <a:gd name="connsiteX10" fmla="*/ 198716 w 7439252"/>
            <a:gd name="connsiteY10" fmla="*/ 619869 h 1244709"/>
            <a:gd name="connsiteX11" fmla="*/ 175856 w 7439252"/>
            <a:gd name="connsiteY11" fmla="*/ 612249 h 1244709"/>
            <a:gd name="connsiteX12" fmla="*/ 152996 w 7439252"/>
            <a:gd name="connsiteY12" fmla="*/ 619869 h 1244709"/>
            <a:gd name="connsiteX13" fmla="*/ 160616 w 7439252"/>
            <a:gd name="connsiteY13" fmla="*/ 657969 h 1244709"/>
            <a:gd name="connsiteX14" fmla="*/ 183476 w 7439252"/>
            <a:gd name="connsiteY14" fmla="*/ 718929 h 1244709"/>
            <a:gd name="connsiteX15" fmla="*/ 213956 w 7439252"/>
            <a:gd name="connsiteY15" fmla="*/ 894189 h 1244709"/>
            <a:gd name="connsiteX16" fmla="*/ 274916 w 7439252"/>
            <a:gd name="connsiteY16" fmla="*/ 932289 h 1244709"/>
            <a:gd name="connsiteX17" fmla="*/ 389216 w 7439252"/>
            <a:gd name="connsiteY17" fmla="*/ 993249 h 1244709"/>
            <a:gd name="connsiteX18" fmla="*/ 495896 w 7439252"/>
            <a:gd name="connsiteY18" fmla="*/ 1023729 h 1244709"/>
            <a:gd name="connsiteX19" fmla="*/ 564476 w 7439252"/>
            <a:gd name="connsiteY19" fmla="*/ 1046589 h 1244709"/>
            <a:gd name="connsiteX20" fmla="*/ 617816 w 7439252"/>
            <a:gd name="connsiteY20" fmla="*/ 1061829 h 1244709"/>
            <a:gd name="connsiteX21" fmla="*/ 648296 w 7439252"/>
            <a:gd name="connsiteY21" fmla="*/ 1069449 h 1244709"/>
            <a:gd name="connsiteX22" fmla="*/ 694016 w 7439252"/>
            <a:gd name="connsiteY22" fmla="*/ 1092309 h 1244709"/>
            <a:gd name="connsiteX23" fmla="*/ 1014056 w 7439252"/>
            <a:gd name="connsiteY23" fmla="*/ 1191369 h 1244709"/>
            <a:gd name="connsiteX24" fmla="*/ 1097876 w 7439252"/>
            <a:gd name="connsiteY24" fmla="*/ 1206609 h 1244709"/>
            <a:gd name="connsiteX25" fmla="*/ 1669376 w 7439252"/>
            <a:gd name="connsiteY25" fmla="*/ 1244709 h 1244709"/>
            <a:gd name="connsiteX26" fmla="*/ 3056216 w 7439252"/>
            <a:gd name="connsiteY26" fmla="*/ 1229469 h 1244709"/>
            <a:gd name="connsiteX27" fmla="*/ 3734396 w 7439252"/>
            <a:gd name="connsiteY27" fmla="*/ 1176129 h 1244709"/>
            <a:gd name="connsiteX28" fmla="*/ 4023956 w 7439252"/>
            <a:gd name="connsiteY28" fmla="*/ 1160889 h 1244709"/>
            <a:gd name="connsiteX29" fmla="*/ 4534496 w 7439252"/>
            <a:gd name="connsiteY29" fmla="*/ 1107549 h 1244709"/>
            <a:gd name="connsiteX30" fmla="*/ 5121236 w 7439252"/>
            <a:gd name="connsiteY30" fmla="*/ 1046589 h 1244709"/>
            <a:gd name="connsiteX31" fmla="*/ 5547956 w 7439252"/>
            <a:gd name="connsiteY31" fmla="*/ 970389 h 1244709"/>
            <a:gd name="connsiteX32" fmla="*/ 6149936 w 7439252"/>
            <a:gd name="connsiteY32" fmla="*/ 787509 h 1244709"/>
            <a:gd name="connsiteX33" fmla="*/ 6416636 w 7439252"/>
            <a:gd name="connsiteY33" fmla="*/ 680829 h 1244709"/>
            <a:gd name="connsiteX34" fmla="*/ 6515696 w 7439252"/>
            <a:gd name="connsiteY34" fmla="*/ 642729 h 1244709"/>
            <a:gd name="connsiteX35" fmla="*/ 6614756 w 7439252"/>
            <a:gd name="connsiteY35" fmla="*/ 589389 h 1244709"/>
            <a:gd name="connsiteX36" fmla="*/ 6675716 w 7439252"/>
            <a:gd name="connsiteY36" fmla="*/ 543669 h 1244709"/>
            <a:gd name="connsiteX37" fmla="*/ 6706196 w 7439252"/>
            <a:gd name="connsiteY37" fmla="*/ 513189 h 1244709"/>
            <a:gd name="connsiteX38" fmla="*/ 6767156 w 7439252"/>
            <a:gd name="connsiteY38" fmla="*/ 482709 h 1244709"/>
            <a:gd name="connsiteX39" fmla="*/ 6850976 w 7439252"/>
            <a:gd name="connsiteY39" fmla="*/ 429369 h 1244709"/>
            <a:gd name="connsiteX40" fmla="*/ 6904316 w 7439252"/>
            <a:gd name="connsiteY40" fmla="*/ 391269 h 1244709"/>
            <a:gd name="connsiteX41" fmla="*/ 6965276 w 7439252"/>
            <a:gd name="connsiteY41" fmla="*/ 353169 h 1244709"/>
            <a:gd name="connsiteX42" fmla="*/ 7033856 w 7439252"/>
            <a:gd name="connsiteY42" fmla="*/ 315069 h 1244709"/>
            <a:gd name="connsiteX43" fmla="*/ 7064336 w 7439252"/>
            <a:gd name="connsiteY43" fmla="*/ 299829 h 1244709"/>
            <a:gd name="connsiteX44" fmla="*/ 7102436 w 7439252"/>
            <a:gd name="connsiteY44" fmla="*/ 276969 h 1244709"/>
            <a:gd name="connsiteX45" fmla="*/ 7132916 w 7439252"/>
            <a:gd name="connsiteY45" fmla="*/ 261729 h 1244709"/>
            <a:gd name="connsiteX46" fmla="*/ 7178636 w 7439252"/>
            <a:gd name="connsiteY46" fmla="*/ 223629 h 1244709"/>
            <a:gd name="connsiteX47" fmla="*/ 7209116 w 7439252"/>
            <a:gd name="connsiteY47" fmla="*/ 208389 h 1244709"/>
            <a:gd name="connsiteX48" fmla="*/ 7231976 w 7439252"/>
            <a:gd name="connsiteY48" fmla="*/ 185529 h 1244709"/>
            <a:gd name="connsiteX49" fmla="*/ 7262456 w 7439252"/>
            <a:gd name="connsiteY49" fmla="*/ 170289 h 1244709"/>
            <a:gd name="connsiteX50" fmla="*/ 7323416 w 7439252"/>
            <a:gd name="connsiteY50" fmla="*/ 109329 h 1244709"/>
            <a:gd name="connsiteX51" fmla="*/ 7346276 w 7439252"/>
            <a:gd name="connsiteY51" fmla="*/ 94089 h 1244709"/>
            <a:gd name="connsiteX52" fmla="*/ 7384376 w 7439252"/>
            <a:gd name="connsiteY52" fmla="*/ 40749 h 1244709"/>
            <a:gd name="connsiteX53" fmla="*/ 7331036 w 7439252"/>
            <a:gd name="connsiteY53" fmla="*/ 33129 h 1244709"/>
            <a:gd name="connsiteX54" fmla="*/ 7193876 w 7439252"/>
            <a:gd name="connsiteY54" fmla="*/ 10269 h 1244709"/>
            <a:gd name="connsiteX55" fmla="*/ 7437716 w 7439252"/>
            <a:gd name="connsiteY55" fmla="*/ 71229 h 1244709"/>
            <a:gd name="connsiteX56" fmla="*/ 7437716 w 7439252"/>
            <a:gd name="connsiteY56" fmla="*/ 170289 h 12447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</a:cxnLst>
          <a:rect l="l" t="t" r="r" b="b"/>
          <a:pathLst>
            <a:path w="7439252" h="1244709">
              <a:moveTo>
                <a:pt x="8216" y="696069"/>
              </a:moveTo>
              <a:cubicBezTo>
                <a:pt x="5676" y="683369"/>
                <a:pt x="-2214" y="670612"/>
                <a:pt x="596" y="657969"/>
              </a:cubicBezTo>
              <a:cubicBezTo>
                <a:pt x="9563" y="617616"/>
                <a:pt x="39108" y="626551"/>
                <a:pt x="69176" y="619869"/>
              </a:cubicBezTo>
              <a:cubicBezTo>
                <a:pt x="77017" y="618127"/>
                <a:pt x="84313" y="614456"/>
                <a:pt x="92036" y="612249"/>
              </a:cubicBezTo>
              <a:cubicBezTo>
                <a:pt x="102106" y="609372"/>
                <a:pt x="112356" y="607169"/>
                <a:pt x="122516" y="604629"/>
              </a:cubicBezTo>
              <a:cubicBezTo>
                <a:pt x="135216" y="597009"/>
                <a:pt x="145920" y="583606"/>
                <a:pt x="160616" y="581769"/>
              </a:cubicBezTo>
              <a:cubicBezTo>
                <a:pt x="186254" y="578564"/>
                <a:pt x="192924" y="627387"/>
                <a:pt x="198716" y="635109"/>
              </a:cubicBezTo>
              <a:cubicBezTo>
                <a:pt x="213803" y="655225"/>
                <a:pt x="252056" y="688449"/>
                <a:pt x="252056" y="688449"/>
              </a:cubicBezTo>
              <a:cubicBezTo>
                <a:pt x="257136" y="703689"/>
                <a:pt x="268528" y="750186"/>
                <a:pt x="267296" y="734169"/>
              </a:cubicBezTo>
              <a:cubicBezTo>
                <a:pt x="264756" y="701149"/>
                <a:pt x="276715" y="663507"/>
                <a:pt x="259676" y="635109"/>
              </a:cubicBezTo>
              <a:cubicBezTo>
                <a:pt x="248900" y="617148"/>
                <a:pt x="218587" y="626493"/>
                <a:pt x="198716" y="619869"/>
              </a:cubicBezTo>
              <a:lnTo>
                <a:pt x="175856" y="612249"/>
              </a:lnTo>
              <a:cubicBezTo>
                <a:pt x="168236" y="614789"/>
                <a:pt x="155536" y="612249"/>
                <a:pt x="152996" y="619869"/>
              </a:cubicBezTo>
              <a:cubicBezTo>
                <a:pt x="148900" y="632156"/>
                <a:pt x="156520" y="645682"/>
                <a:pt x="160616" y="657969"/>
              </a:cubicBezTo>
              <a:cubicBezTo>
                <a:pt x="182277" y="722951"/>
                <a:pt x="171499" y="654256"/>
                <a:pt x="183476" y="718929"/>
              </a:cubicBezTo>
              <a:cubicBezTo>
                <a:pt x="194273" y="777235"/>
                <a:pt x="190598" y="839687"/>
                <a:pt x="213956" y="894189"/>
              </a:cubicBezTo>
              <a:cubicBezTo>
                <a:pt x="223395" y="916214"/>
                <a:pt x="254508" y="919730"/>
                <a:pt x="274916" y="932289"/>
              </a:cubicBezTo>
              <a:cubicBezTo>
                <a:pt x="302819" y="949460"/>
                <a:pt x="366011" y="987448"/>
                <a:pt x="389216" y="993249"/>
              </a:cubicBezTo>
              <a:cubicBezTo>
                <a:pt x="437250" y="1005257"/>
                <a:pt x="430360" y="1003034"/>
                <a:pt x="495896" y="1023729"/>
              </a:cubicBezTo>
              <a:cubicBezTo>
                <a:pt x="518874" y="1030985"/>
                <a:pt x="541476" y="1039402"/>
                <a:pt x="564476" y="1046589"/>
              </a:cubicBezTo>
              <a:cubicBezTo>
                <a:pt x="582126" y="1052105"/>
                <a:pt x="599976" y="1056964"/>
                <a:pt x="617816" y="1061829"/>
              </a:cubicBezTo>
              <a:cubicBezTo>
                <a:pt x="627920" y="1064585"/>
                <a:pt x="638572" y="1065560"/>
                <a:pt x="648296" y="1069449"/>
              </a:cubicBezTo>
              <a:cubicBezTo>
                <a:pt x="664116" y="1075777"/>
                <a:pt x="677852" y="1086921"/>
                <a:pt x="694016" y="1092309"/>
              </a:cubicBezTo>
              <a:cubicBezTo>
                <a:pt x="799959" y="1127623"/>
                <a:pt x="904184" y="1171392"/>
                <a:pt x="1014056" y="1191369"/>
              </a:cubicBezTo>
              <a:cubicBezTo>
                <a:pt x="1041996" y="1196449"/>
                <a:pt x="1069619" y="1203783"/>
                <a:pt x="1097876" y="1206609"/>
              </a:cubicBezTo>
              <a:cubicBezTo>
                <a:pt x="1406023" y="1237424"/>
                <a:pt x="1415860" y="1234958"/>
                <a:pt x="1669376" y="1244709"/>
              </a:cubicBezTo>
              <a:cubicBezTo>
                <a:pt x="2131656" y="1239629"/>
                <a:pt x="2594163" y="1244814"/>
                <a:pt x="3056216" y="1229469"/>
              </a:cubicBezTo>
              <a:cubicBezTo>
                <a:pt x="3282849" y="1221942"/>
                <a:pt x="3507951" y="1188047"/>
                <a:pt x="3734396" y="1176129"/>
              </a:cubicBezTo>
              <a:lnTo>
                <a:pt x="4023956" y="1160889"/>
              </a:lnTo>
              <a:cubicBezTo>
                <a:pt x="4581652" y="1081218"/>
                <a:pt x="4010246" y="1155645"/>
                <a:pt x="4534496" y="1107549"/>
              </a:cubicBezTo>
              <a:cubicBezTo>
                <a:pt x="4730306" y="1089585"/>
                <a:pt x="5121236" y="1046589"/>
                <a:pt x="5121236" y="1046589"/>
              </a:cubicBezTo>
              <a:cubicBezTo>
                <a:pt x="5541542" y="946516"/>
                <a:pt x="4943758" y="1083676"/>
                <a:pt x="5547956" y="970389"/>
              </a:cubicBezTo>
              <a:cubicBezTo>
                <a:pt x="5754488" y="931664"/>
                <a:pt x="5953859" y="861038"/>
                <a:pt x="6149936" y="787509"/>
              </a:cubicBezTo>
              <a:cubicBezTo>
                <a:pt x="6299844" y="731294"/>
                <a:pt x="6123883" y="797930"/>
                <a:pt x="6416636" y="680829"/>
              </a:cubicBezTo>
              <a:cubicBezTo>
                <a:pt x="6449484" y="667690"/>
                <a:pt x="6484053" y="658551"/>
                <a:pt x="6515696" y="642729"/>
              </a:cubicBezTo>
              <a:cubicBezTo>
                <a:pt x="6547507" y="626824"/>
                <a:pt x="6584814" y="610118"/>
                <a:pt x="6614756" y="589389"/>
              </a:cubicBezTo>
              <a:cubicBezTo>
                <a:pt x="6635640" y="574931"/>
                <a:pt x="6656203" y="559930"/>
                <a:pt x="6675716" y="543669"/>
              </a:cubicBezTo>
              <a:cubicBezTo>
                <a:pt x="6686754" y="534471"/>
                <a:pt x="6694241" y="521159"/>
                <a:pt x="6706196" y="513189"/>
              </a:cubicBezTo>
              <a:cubicBezTo>
                <a:pt x="6725099" y="500587"/>
                <a:pt x="6747808" y="494616"/>
                <a:pt x="6767156" y="482709"/>
              </a:cubicBezTo>
              <a:cubicBezTo>
                <a:pt x="6900809" y="400461"/>
                <a:pt x="6704542" y="502586"/>
                <a:pt x="6850976" y="429369"/>
              </a:cubicBezTo>
              <a:cubicBezTo>
                <a:pt x="6895691" y="369749"/>
                <a:pt x="6848675" y="419090"/>
                <a:pt x="6904316" y="391269"/>
              </a:cubicBezTo>
              <a:cubicBezTo>
                <a:pt x="6925749" y="380553"/>
                <a:pt x="6943843" y="363885"/>
                <a:pt x="6965276" y="353169"/>
              </a:cubicBezTo>
              <a:cubicBezTo>
                <a:pt x="7038357" y="316629"/>
                <a:pt x="6947743" y="362909"/>
                <a:pt x="7033856" y="315069"/>
              </a:cubicBezTo>
              <a:cubicBezTo>
                <a:pt x="7043786" y="309552"/>
                <a:pt x="7054406" y="305346"/>
                <a:pt x="7064336" y="299829"/>
              </a:cubicBezTo>
              <a:cubicBezTo>
                <a:pt x="7077283" y="292636"/>
                <a:pt x="7089489" y="284162"/>
                <a:pt x="7102436" y="276969"/>
              </a:cubicBezTo>
              <a:cubicBezTo>
                <a:pt x="7112366" y="271452"/>
                <a:pt x="7123610" y="268243"/>
                <a:pt x="7132916" y="261729"/>
              </a:cubicBezTo>
              <a:cubicBezTo>
                <a:pt x="7149168" y="250353"/>
                <a:pt x="7162384" y="235005"/>
                <a:pt x="7178636" y="223629"/>
              </a:cubicBezTo>
              <a:cubicBezTo>
                <a:pt x="7187942" y="217115"/>
                <a:pt x="7199873" y="214991"/>
                <a:pt x="7209116" y="208389"/>
              </a:cubicBezTo>
              <a:cubicBezTo>
                <a:pt x="7217885" y="202125"/>
                <a:pt x="7223207" y="191793"/>
                <a:pt x="7231976" y="185529"/>
              </a:cubicBezTo>
              <a:cubicBezTo>
                <a:pt x="7241219" y="178927"/>
                <a:pt x="7253730" y="177561"/>
                <a:pt x="7262456" y="170289"/>
              </a:cubicBezTo>
              <a:cubicBezTo>
                <a:pt x="7284532" y="151892"/>
                <a:pt x="7299506" y="125269"/>
                <a:pt x="7323416" y="109329"/>
              </a:cubicBezTo>
              <a:cubicBezTo>
                <a:pt x="7331036" y="104249"/>
                <a:pt x="7339800" y="100565"/>
                <a:pt x="7346276" y="94089"/>
              </a:cubicBezTo>
              <a:cubicBezTo>
                <a:pt x="7355728" y="84637"/>
                <a:pt x="7375723" y="53729"/>
                <a:pt x="7384376" y="40749"/>
              </a:cubicBezTo>
              <a:cubicBezTo>
                <a:pt x="7366596" y="38209"/>
                <a:pt x="7348954" y="34365"/>
                <a:pt x="7331036" y="33129"/>
              </a:cubicBezTo>
              <a:cubicBezTo>
                <a:pt x="7159445" y="21295"/>
                <a:pt x="7111862" y="51276"/>
                <a:pt x="7193876" y="10269"/>
              </a:cubicBezTo>
              <a:cubicBezTo>
                <a:pt x="7309475" y="17976"/>
                <a:pt x="7425468" y="-45132"/>
                <a:pt x="7437716" y="71229"/>
              </a:cubicBezTo>
              <a:cubicBezTo>
                <a:pt x="7441173" y="104068"/>
                <a:pt x="7437716" y="137269"/>
                <a:pt x="7437716" y="170289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6</xdr:col>
      <xdr:colOff>1325880</xdr:colOff>
      <xdr:row>16</xdr:row>
      <xdr:rowOff>152400</xdr:rowOff>
    </xdr:from>
    <xdr:to>
      <xdr:col>7</xdr:col>
      <xdr:colOff>7620</xdr:colOff>
      <xdr:row>19</xdr:row>
      <xdr:rowOff>45720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3A8ACED0-7136-D988-0EEA-FA7FE4C9C486}"/>
            </a:ext>
          </a:extLst>
        </xdr:cNvPr>
        <xdr:cNvCxnSpPr/>
      </xdr:nvCxnSpPr>
      <xdr:spPr>
        <a:xfrm flipH="1" flipV="1">
          <a:off x="7810500" y="3139440"/>
          <a:ext cx="175260" cy="4419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18</xdr:row>
      <xdr:rowOff>167640</xdr:rowOff>
    </xdr:from>
    <xdr:to>
      <xdr:col>6</xdr:col>
      <xdr:colOff>1348740</xdr:colOff>
      <xdr:row>19</xdr:row>
      <xdr:rowOff>175260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E1250133-BE1B-CC65-5560-28FAC1006847}"/>
            </a:ext>
          </a:extLst>
        </xdr:cNvPr>
        <xdr:cNvCxnSpPr/>
      </xdr:nvCxnSpPr>
      <xdr:spPr>
        <a:xfrm flipH="1" flipV="1">
          <a:off x="6537960" y="3520440"/>
          <a:ext cx="1295400" cy="190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967740</xdr:colOff>
      <xdr:row>22</xdr:row>
      <xdr:rowOff>45720</xdr:rowOff>
    </xdr:from>
    <xdr:to>
      <xdr:col>7</xdr:col>
      <xdr:colOff>312420</xdr:colOff>
      <xdr:row>27</xdr:row>
      <xdr:rowOff>99060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83BC2CD0-7C71-8388-3DDA-7643F97F78AC}"/>
            </a:ext>
          </a:extLst>
        </xdr:cNvPr>
        <xdr:cNvCxnSpPr/>
      </xdr:nvCxnSpPr>
      <xdr:spPr>
        <a:xfrm flipH="1">
          <a:off x="7452360" y="4130040"/>
          <a:ext cx="838200" cy="9677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12</xdr:row>
      <xdr:rowOff>68580</xdr:rowOff>
    </xdr:from>
    <xdr:to>
      <xdr:col>1</xdr:col>
      <xdr:colOff>899160</xdr:colOff>
      <xdr:row>17</xdr:row>
      <xdr:rowOff>144780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FAC399F3-B74B-496E-9567-267A1D70AAD5}"/>
            </a:ext>
          </a:extLst>
        </xdr:cNvPr>
        <xdr:cNvCxnSpPr/>
      </xdr:nvCxnSpPr>
      <xdr:spPr>
        <a:xfrm flipH="1">
          <a:off x="426720" y="2324100"/>
          <a:ext cx="1394460" cy="9906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472440</xdr:colOff>
      <xdr:row>16</xdr:row>
      <xdr:rowOff>53340</xdr:rowOff>
    </xdr:from>
    <xdr:to>
      <xdr:col>2</xdr:col>
      <xdr:colOff>1028700</xdr:colOff>
      <xdr:row>28</xdr:row>
      <xdr:rowOff>129540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3973A99F-5E0A-4564-8F26-04F0481F6995}"/>
            </a:ext>
          </a:extLst>
        </xdr:cNvPr>
        <xdr:cNvCxnSpPr/>
      </xdr:nvCxnSpPr>
      <xdr:spPr>
        <a:xfrm flipH="1">
          <a:off x="1394460" y="3040380"/>
          <a:ext cx="1485900" cy="22707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1074420</xdr:colOff>
      <xdr:row>16</xdr:row>
      <xdr:rowOff>91440</xdr:rowOff>
    </xdr:from>
    <xdr:to>
      <xdr:col>3</xdr:col>
      <xdr:colOff>967740</xdr:colOff>
      <xdr:row>18</xdr:row>
      <xdr:rowOff>144780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6CE870E9-852C-4B47-A031-7511FAAAABEF}"/>
            </a:ext>
          </a:extLst>
        </xdr:cNvPr>
        <xdr:cNvCxnSpPr/>
      </xdr:nvCxnSpPr>
      <xdr:spPr>
        <a:xfrm>
          <a:off x="2926080" y="3078480"/>
          <a:ext cx="1112520" cy="419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502920</xdr:colOff>
      <xdr:row>12</xdr:row>
      <xdr:rowOff>91440</xdr:rowOff>
    </xdr:from>
    <xdr:to>
      <xdr:col>5</xdr:col>
      <xdr:colOff>1082040</xdr:colOff>
      <xdr:row>17</xdr:row>
      <xdr:rowOff>99060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D8FBAD2E-0949-45E0-87AD-F15EC199F746}"/>
            </a:ext>
          </a:extLst>
        </xdr:cNvPr>
        <xdr:cNvCxnSpPr/>
      </xdr:nvCxnSpPr>
      <xdr:spPr>
        <a:xfrm flipH="1">
          <a:off x="5775960" y="2346960"/>
          <a:ext cx="579120" cy="9220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754380</xdr:colOff>
      <xdr:row>25</xdr:row>
      <xdr:rowOff>0</xdr:rowOff>
    </xdr:from>
    <xdr:to>
      <xdr:col>6</xdr:col>
      <xdr:colOff>541020</xdr:colOff>
      <xdr:row>28</xdr:row>
      <xdr:rowOff>15240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6630D975-59AD-46B5-9A5F-5EA3B2090C29}"/>
            </a:ext>
          </a:extLst>
        </xdr:cNvPr>
        <xdr:cNvCxnSpPr/>
      </xdr:nvCxnSpPr>
      <xdr:spPr>
        <a:xfrm>
          <a:off x="6027420" y="4632960"/>
          <a:ext cx="998220" cy="563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639484</xdr:colOff>
      <xdr:row>33</xdr:row>
      <xdr:rowOff>172611</xdr:rowOff>
    </xdr:from>
    <xdr:to>
      <xdr:col>10</xdr:col>
      <xdr:colOff>411480</xdr:colOff>
      <xdr:row>40</xdr:row>
      <xdr:rowOff>137160</xdr:rowOff>
    </xdr:to>
    <xdr:sp macro="" textlink="">
      <xdr:nvSpPr>
        <xdr:cNvPr id="7" name="Полилиния: фигура 6">
          <a:extLst>
            <a:ext uri="{FF2B5EF4-FFF2-40B4-BE49-F238E27FC236}">
              <a16:creationId xmlns:a16="http://schemas.microsoft.com/office/drawing/2014/main" id="{6049FFC4-DBB6-4887-8FB2-5412DCA55839}"/>
            </a:ext>
          </a:extLst>
        </xdr:cNvPr>
        <xdr:cNvSpPr/>
      </xdr:nvSpPr>
      <xdr:spPr>
        <a:xfrm>
          <a:off x="2491144" y="6268611"/>
          <a:ext cx="9853256" cy="1244709"/>
        </a:xfrm>
        <a:custGeom>
          <a:avLst/>
          <a:gdLst>
            <a:gd name="connsiteX0" fmla="*/ 8216 w 7439252"/>
            <a:gd name="connsiteY0" fmla="*/ 696069 h 1244709"/>
            <a:gd name="connsiteX1" fmla="*/ 596 w 7439252"/>
            <a:gd name="connsiteY1" fmla="*/ 657969 h 1244709"/>
            <a:gd name="connsiteX2" fmla="*/ 69176 w 7439252"/>
            <a:gd name="connsiteY2" fmla="*/ 619869 h 1244709"/>
            <a:gd name="connsiteX3" fmla="*/ 92036 w 7439252"/>
            <a:gd name="connsiteY3" fmla="*/ 612249 h 1244709"/>
            <a:gd name="connsiteX4" fmla="*/ 122516 w 7439252"/>
            <a:gd name="connsiteY4" fmla="*/ 604629 h 1244709"/>
            <a:gd name="connsiteX5" fmla="*/ 160616 w 7439252"/>
            <a:gd name="connsiteY5" fmla="*/ 581769 h 1244709"/>
            <a:gd name="connsiteX6" fmla="*/ 198716 w 7439252"/>
            <a:gd name="connsiteY6" fmla="*/ 635109 h 1244709"/>
            <a:gd name="connsiteX7" fmla="*/ 252056 w 7439252"/>
            <a:gd name="connsiteY7" fmla="*/ 688449 h 1244709"/>
            <a:gd name="connsiteX8" fmla="*/ 267296 w 7439252"/>
            <a:gd name="connsiteY8" fmla="*/ 734169 h 1244709"/>
            <a:gd name="connsiteX9" fmla="*/ 259676 w 7439252"/>
            <a:gd name="connsiteY9" fmla="*/ 635109 h 1244709"/>
            <a:gd name="connsiteX10" fmla="*/ 198716 w 7439252"/>
            <a:gd name="connsiteY10" fmla="*/ 619869 h 1244709"/>
            <a:gd name="connsiteX11" fmla="*/ 175856 w 7439252"/>
            <a:gd name="connsiteY11" fmla="*/ 612249 h 1244709"/>
            <a:gd name="connsiteX12" fmla="*/ 152996 w 7439252"/>
            <a:gd name="connsiteY12" fmla="*/ 619869 h 1244709"/>
            <a:gd name="connsiteX13" fmla="*/ 160616 w 7439252"/>
            <a:gd name="connsiteY13" fmla="*/ 657969 h 1244709"/>
            <a:gd name="connsiteX14" fmla="*/ 183476 w 7439252"/>
            <a:gd name="connsiteY14" fmla="*/ 718929 h 1244709"/>
            <a:gd name="connsiteX15" fmla="*/ 213956 w 7439252"/>
            <a:gd name="connsiteY15" fmla="*/ 894189 h 1244709"/>
            <a:gd name="connsiteX16" fmla="*/ 274916 w 7439252"/>
            <a:gd name="connsiteY16" fmla="*/ 932289 h 1244709"/>
            <a:gd name="connsiteX17" fmla="*/ 389216 w 7439252"/>
            <a:gd name="connsiteY17" fmla="*/ 993249 h 1244709"/>
            <a:gd name="connsiteX18" fmla="*/ 495896 w 7439252"/>
            <a:gd name="connsiteY18" fmla="*/ 1023729 h 1244709"/>
            <a:gd name="connsiteX19" fmla="*/ 564476 w 7439252"/>
            <a:gd name="connsiteY19" fmla="*/ 1046589 h 1244709"/>
            <a:gd name="connsiteX20" fmla="*/ 617816 w 7439252"/>
            <a:gd name="connsiteY20" fmla="*/ 1061829 h 1244709"/>
            <a:gd name="connsiteX21" fmla="*/ 648296 w 7439252"/>
            <a:gd name="connsiteY21" fmla="*/ 1069449 h 1244709"/>
            <a:gd name="connsiteX22" fmla="*/ 694016 w 7439252"/>
            <a:gd name="connsiteY22" fmla="*/ 1092309 h 1244709"/>
            <a:gd name="connsiteX23" fmla="*/ 1014056 w 7439252"/>
            <a:gd name="connsiteY23" fmla="*/ 1191369 h 1244709"/>
            <a:gd name="connsiteX24" fmla="*/ 1097876 w 7439252"/>
            <a:gd name="connsiteY24" fmla="*/ 1206609 h 1244709"/>
            <a:gd name="connsiteX25" fmla="*/ 1669376 w 7439252"/>
            <a:gd name="connsiteY25" fmla="*/ 1244709 h 1244709"/>
            <a:gd name="connsiteX26" fmla="*/ 3056216 w 7439252"/>
            <a:gd name="connsiteY26" fmla="*/ 1229469 h 1244709"/>
            <a:gd name="connsiteX27" fmla="*/ 3734396 w 7439252"/>
            <a:gd name="connsiteY27" fmla="*/ 1176129 h 1244709"/>
            <a:gd name="connsiteX28" fmla="*/ 4023956 w 7439252"/>
            <a:gd name="connsiteY28" fmla="*/ 1160889 h 1244709"/>
            <a:gd name="connsiteX29" fmla="*/ 4534496 w 7439252"/>
            <a:gd name="connsiteY29" fmla="*/ 1107549 h 1244709"/>
            <a:gd name="connsiteX30" fmla="*/ 5121236 w 7439252"/>
            <a:gd name="connsiteY30" fmla="*/ 1046589 h 1244709"/>
            <a:gd name="connsiteX31" fmla="*/ 5547956 w 7439252"/>
            <a:gd name="connsiteY31" fmla="*/ 970389 h 1244709"/>
            <a:gd name="connsiteX32" fmla="*/ 6149936 w 7439252"/>
            <a:gd name="connsiteY32" fmla="*/ 787509 h 1244709"/>
            <a:gd name="connsiteX33" fmla="*/ 6416636 w 7439252"/>
            <a:gd name="connsiteY33" fmla="*/ 680829 h 1244709"/>
            <a:gd name="connsiteX34" fmla="*/ 6515696 w 7439252"/>
            <a:gd name="connsiteY34" fmla="*/ 642729 h 1244709"/>
            <a:gd name="connsiteX35" fmla="*/ 6614756 w 7439252"/>
            <a:gd name="connsiteY35" fmla="*/ 589389 h 1244709"/>
            <a:gd name="connsiteX36" fmla="*/ 6675716 w 7439252"/>
            <a:gd name="connsiteY36" fmla="*/ 543669 h 1244709"/>
            <a:gd name="connsiteX37" fmla="*/ 6706196 w 7439252"/>
            <a:gd name="connsiteY37" fmla="*/ 513189 h 1244709"/>
            <a:gd name="connsiteX38" fmla="*/ 6767156 w 7439252"/>
            <a:gd name="connsiteY38" fmla="*/ 482709 h 1244709"/>
            <a:gd name="connsiteX39" fmla="*/ 6850976 w 7439252"/>
            <a:gd name="connsiteY39" fmla="*/ 429369 h 1244709"/>
            <a:gd name="connsiteX40" fmla="*/ 6904316 w 7439252"/>
            <a:gd name="connsiteY40" fmla="*/ 391269 h 1244709"/>
            <a:gd name="connsiteX41" fmla="*/ 6965276 w 7439252"/>
            <a:gd name="connsiteY41" fmla="*/ 353169 h 1244709"/>
            <a:gd name="connsiteX42" fmla="*/ 7033856 w 7439252"/>
            <a:gd name="connsiteY42" fmla="*/ 315069 h 1244709"/>
            <a:gd name="connsiteX43" fmla="*/ 7064336 w 7439252"/>
            <a:gd name="connsiteY43" fmla="*/ 299829 h 1244709"/>
            <a:gd name="connsiteX44" fmla="*/ 7102436 w 7439252"/>
            <a:gd name="connsiteY44" fmla="*/ 276969 h 1244709"/>
            <a:gd name="connsiteX45" fmla="*/ 7132916 w 7439252"/>
            <a:gd name="connsiteY45" fmla="*/ 261729 h 1244709"/>
            <a:gd name="connsiteX46" fmla="*/ 7178636 w 7439252"/>
            <a:gd name="connsiteY46" fmla="*/ 223629 h 1244709"/>
            <a:gd name="connsiteX47" fmla="*/ 7209116 w 7439252"/>
            <a:gd name="connsiteY47" fmla="*/ 208389 h 1244709"/>
            <a:gd name="connsiteX48" fmla="*/ 7231976 w 7439252"/>
            <a:gd name="connsiteY48" fmla="*/ 185529 h 1244709"/>
            <a:gd name="connsiteX49" fmla="*/ 7262456 w 7439252"/>
            <a:gd name="connsiteY49" fmla="*/ 170289 h 1244709"/>
            <a:gd name="connsiteX50" fmla="*/ 7323416 w 7439252"/>
            <a:gd name="connsiteY50" fmla="*/ 109329 h 1244709"/>
            <a:gd name="connsiteX51" fmla="*/ 7346276 w 7439252"/>
            <a:gd name="connsiteY51" fmla="*/ 94089 h 1244709"/>
            <a:gd name="connsiteX52" fmla="*/ 7384376 w 7439252"/>
            <a:gd name="connsiteY52" fmla="*/ 40749 h 1244709"/>
            <a:gd name="connsiteX53" fmla="*/ 7331036 w 7439252"/>
            <a:gd name="connsiteY53" fmla="*/ 33129 h 1244709"/>
            <a:gd name="connsiteX54" fmla="*/ 7193876 w 7439252"/>
            <a:gd name="connsiteY54" fmla="*/ 10269 h 1244709"/>
            <a:gd name="connsiteX55" fmla="*/ 7437716 w 7439252"/>
            <a:gd name="connsiteY55" fmla="*/ 71229 h 1244709"/>
            <a:gd name="connsiteX56" fmla="*/ 7437716 w 7439252"/>
            <a:gd name="connsiteY56" fmla="*/ 170289 h 12447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</a:cxnLst>
          <a:rect l="l" t="t" r="r" b="b"/>
          <a:pathLst>
            <a:path w="7439252" h="1244709">
              <a:moveTo>
                <a:pt x="8216" y="696069"/>
              </a:moveTo>
              <a:cubicBezTo>
                <a:pt x="5676" y="683369"/>
                <a:pt x="-2214" y="670612"/>
                <a:pt x="596" y="657969"/>
              </a:cubicBezTo>
              <a:cubicBezTo>
                <a:pt x="9563" y="617616"/>
                <a:pt x="39108" y="626551"/>
                <a:pt x="69176" y="619869"/>
              </a:cubicBezTo>
              <a:cubicBezTo>
                <a:pt x="77017" y="618127"/>
                <a:pt x="84313" y="614456"/>
                <a:pt x="92036" y="612249"/>
              </a:cubicBezTo>
              <a:cubicBezTo>
                <a:pt x="102106" y="609372"/>
                <a:pt x="112356" y="607169"/>
                <a:pt x="122516" y="604629"/>
              </a:cubicBezTo>
              <a:cubicBezTo>
                <a:pt x="135216" y="597009"/>
                <a:pt x="145920" y="583606"/>
                <a:pt x="160616" y="581769"/>
              </a:cubicBezTo>
              <a:cubicBezTo>
                <a:pt x="186254" y="578564"/>
                <a:pt x="192924" y="627387"/>
                <a:pt x="198716" y="635109"/>
              </a:cubicBezTo>
              <a:cubicBezTo>
                <a:pt x="213803" y="655225"/>
                <a:pt x="252056" y="688449"/>
                <a:pt x="252056" y="688449"/>
              </a:cubicBezTo>
              <a:cubicBezTo>
                <a:pt x="257136" y="703689"/>
                <a:pt x="268528" y="750186"/>
                <a:pt x="267296" y="734169"/>
              </a:cubicBezTo>
              <a:cubicBezTo>
                <a:pt x="264756" y="701149"/>
                <a:pt x="276715" y="663507"/>
                <a:pt x="259676" y="635109"/>
              </a:cubicBezTo>
              <a:cubicBezTo>
                <a:pt x="248900" y="617148"/>
                <a:pt x="218587" y="626493"/>
                <a:pt x="198716" y="619869"/>
              </a:cubicBezTo>
              <a:lnTo>
                <a:pt x="175856" y="612249"/>
              </a:lnTo>
              <a:cubicBezTo>
                <a:pt x="168236" y="614789"/>
                <a:pt x="155536" y="612249"/>
                <a:pt x="152996" y="619869"/>
              </a:cubicBezTo>
              <a:cubicBezTo>
                <a:pt x="148900" y="632156"/>
                <a:pt x="156520" y="645682"/>
                <a:pt x="160616" y="657969"/>
              </a:cubicBezTo>
              <a:cubicBezTo>
                <a:pt x="182277" y="722951"/>
                <a:pt x="171499" y="654256"/>
                <a:pt x="183476" y="718929"/>
              </a:cubicBezTo>
              <a:cubicBezTo>
                <a:pt x="194273" y="777235"/>
                <a:pt x="190598" y="839687"/>
                <a:pt x="213956" y="894189"/>
              </a:cubicBezTo>
              <a:cubicBezTo>
                <a:pt x="223395" y="916214"/>
                <a:pt x="254508" y="919730"/>
                <a:pt x="274916" y="932289"/>
              </a:cubicBezTo>
              <a:cubicBezTo>
                <a:pt x="302819" y="949460"/>
                <a:pt x="366011" y="987448"/>
                <a:pt x="389216" y="993249"/>
              </a:cubicBezTo>
              <a:cubicBezTo>
                <a:pt x="437250" y="1005257"/>
                <a:pt x="430360" y="1003034"/>
                <a:pt x="495896" y="1023729"/>
              </a:cubicBezTo>
              <a:cubicBezTo>
                <a:pt x="518874" y="1030985"/>
                <a:pt x="541476" y="1039402"/>
                <a:pt x="564476" y="1046589"/>
              </a:cubicBezTo>
              <a:cubicBezTo>
                <a:pt x="582126" y="1052105"/>
                <a:pt x="599976" y="1056964"/>
                <a:pt x="617816" y="1061829"/>
              </a:cubicBezTo>
              <a:cubicBezTo>
                <a:pt x="627920" y="1064585"/>
                <a:pt x="638572" y="1065560"/>
                <a:pt x="648296" y="1069449"/>
              </a:cubicBezTo>
              <a:cubicBezTo>
                <a:pt x="664116" y="1075777"/>
                <a:pt x="677852" y="1086921"/>
                <a:pt x="694016" y="1092309"/>
              </a:cubicBezTo>
              <a:cubicBezTo>
                <a:pt x="799959" y="1127623"/>
                <a:pt x="904184" y="1171392"/>
                <a:pt x="1014056" y="1191369"/>
              </a:cubicBezTo>
              <a:cubicBezTo>
                <a:pt x="1041996" y="1196449"/>
                <a:pt x="1069619" y="1203783"/>
                <a:pt x="1097876" y="1206609"/>
              </a:cubicBezTo>
              <a:cubicBezTo>
                <a:pt x="1406023" y="1237424"/>
                <a:pt x="1415860" y="1234958"/>
                <a:pt x="1669376" y="1244709"/>
              </a:cubicBezTo>
              <a:cubicBezTo>
                <a:pt x="2131656" y="1239629"/>
                <a:pt x="2594163" y="1244814"/>
                <a:pt x="3056216" y="1229469"/>
              </a:cubicBezTo>
              <a:cubicBezTo>
                <a:pt x="3282849" y="1221942"/>
                <a:pt x="3507951" y="1188047"/>
                <a:pt x="3734396" y="1176129"/>
              </a:cubicBezTo>
              <a:lnTo>
                <a:pt x="4023956" y="1160889"/>
              </a:lnTo>
              <a:cubicBezTo>
                <a:pt x="4581652" y="1081218"/>
                <a:pt x="4010246" y="1155645"/>
                <a:pt x="4534496" y="1107549"/>
              </a:cubicBezTo>
              <a:cubicBezTo>
                <a:pt x="4730306" y="1089585"/>
                <a:pt x="5121236" y="1046589"/>
                <a:pt x="5121236" y="1046589"/>
              </a:cubicBezTo>
              <a:cubicBezTo>
                <a:pt x="5541542" y="946516"/>
                <a:pt x="4943758" y="1083676"/>
                <a:pt x="5547956" y="970389"/>
              </a:cubicBezTo>
              <a:cubicBezTo>
                <a:pt x="5754488" y="931664"/>
                <a:pt x="5953859" y="861038"/>
                <a:pt x="6149936" y="787509"/>
              </a:cubicBezTo>
              <a:cubicBezTo>
                <a:pt x="6299844" y="731294"/>
                <a:pt x="6123883" y="797930"/>
                <a:pt x="6416636" y="680829"/>
              </a:cubicBezTo>
              <a:cubicBezTo>
                <a:pt x="6449484" y="667690"/>
                <a:pt x="6484053" y="658551"/>
                <a:pt x="6515696" y="642729"/>
              </a:cubicBezTo>
              <a:cubicBezTo>
                <a:pt x="6547507" y="626824"/>
                <a:pt x="6584814" y="610118"/>
                <a:pt x="6614756" y="589389"/>
              </a:cubicBezTo>
              <a:cubicBezTo>
                <a:pt x="6635640" y="574931"/>
                <a:pt x="6656203" y="559930"/>
                <a:pt x="6675716" y="543669"/>
              </a:cubicBezTo>
              <a:cubicBezTo>
                <a:pt x="6686754" y="534471"/>
                <a:pt x="6694241" y="521159"/>
                <a:pt x="6706196" y="513189"/>
              </a:cubicBezTo>
              <a:cubicBezTo>
                <a:pt x="6725099" y="500587"/>
                <a:pt x="6747808" y="494616"/>
                <a:pt x="6767156" y="482709"/>
              </a:cubicBezTo>
              <a:cubicBezTo>
                <a:pt x="6900809" y="400461"/>
                <a:pt x="6704542" y="502586"/>
                <a:pt x="6850976" y="429369"/>
              </a:cubicBezTo>
              <a:cubicBezTo>
                <a:pt x="6895691" y="369749"/>
                <a:pt x="6848675" y="419090"/>
                <a:pt x="6904316" y="391269"/>
              </a:cubicBezTo>
              <a:cubicBezTo>
                <a:pt x="6925749" y="380553"/>
                <a:pt x="6943843" y="363885"/>
                <a:pt x="6965276" y="353169"/>
              </a:cubicBezTo>
              <a:cubicBezTo>
                <a:pt x="7038357" y="316629"/>
                <a:pt x="6947743" y="362909"/>
                <a:pt x="7033856" y="315069"/>
              </a:cubicBezTo>
              <a:cubicBezTo>
                <a:pt x="7043786" y="309552"/>
                <a:pt x="7054406" y="305346"/>
                <a:pt x="7064336" y="299829"/>
              </a:cubicBezTo>
              <a:cubicBezTo>
                <a:pt x="7077283" y="292636"/>
                <a:pt x="7089489" y="284162"/>
                <a:pt x="7102436" y="276969"/>
              </a:cubicBezTo>
              <a:cubicBezTo>
                <a:pt x="7112366" y="271452"/>
                <a:pt x="7123610" y="268243"/>
                <a:pt x="7132916" y="261729"/>
              </a:cubicBezTo>
              <a:cubicBezTo>
                <a:pt x="7149168" y="250353"/>
                <a:pt x="7162384" y="235005"/>
                <a:pt x="7178636" y="223629"/>
              </a:cubicBezTo>
              <a:cubicBezTo>
                <a:pt x="7187942" y="217115"/>
                <a:pt x="7199873" y="214991"/>
                <a:pt x="7209116" y="208389"/>
              </a:cubicBezTo>
              <a:cubicBezTo>
                <a:pt x="7217885" y="202125"/>
                <a:pt x="7223207" y="191793"/>
                <a:pt x="7231976" y="185529"/>
              </a:cubicBezTo>
              <a:cubicBezTo>
                <a:pt x="7241219" y="178927"/>
                <a:pt x="7253730" y="177561"/>
                <a:pt x="7262456" y="170289"/>
              </a:cubicBezTo>
              <a:cubicBezTo>
                <a:pt x="7284532" y="151892"/>
                <a:pt x="7299506" y="125269"/>
                <a:pt x="7323416" y="109329"/>
              </a:cubicBezTo>
              <a:cubicBezTo>
                <a:pt x="7331036" y="104249"/>
                <a:pt x="7339800" y="100565"/>
                <a:pt x="7346276" y="94089"/>
              </a:cubicBezTo>
              <a:cubicBezTo>
                <a:pt x="7355728" y="84637"/>
                <a:pt x="7375723" y="53729"/>
                <a:pt x="7384376" y="40749"/>
              </a:cubicBezTo>
              <a:cubicBezTo>
                <a:pt x="7366596" y="38209"/>
                <a:pt x="7348954" y="34365"/>
                <a:pt x="7331036" y="33129"/>
              </a:cubicBezTo>
              <a:cubicBezTo>
                <a:pt x="7159445" y="21295"/>
                <a:pt x="7111862" y="51276"/>
                <a:pt x="7193876" y="10269"/>
              </a:cubicBezTo>
              <a:cubicBezTo>
                <a:pt x="7309475" y="17976"/>
                <a:pt x="7425468" y="-45132"/>
                <a:pt x="7437716" y="71229"/>
              </a:cubicBezTo>
              <a:cubicBezTo>
                <a:pt x="7441173" y="104068"/>
                <a:pt x="7437716" y="137269"/>
                <a:pt x="7437716" y="170289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6</xdr:col>
      <xdr:colOff>1234440</xdr:colOff>
      <xdr:row>17</xdr:row>
      <xdr:rowOff>45720</xdr:rowOff>
    </xdr:from>
    <xdr:to>
      <xdr:col>6</xdr:col>
      <xdr:colOff>1409700</xdr:colOff>
      <xdr:row>19</xdr:row>
      <xdr:rowOff>121920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5B291430-1A4B-4D31-B7C1-1B4453B81A4E}"/>
            </a:ext>
          </a:extLst>
        </xdr:cNvPr>
        <xdr:cNvCxnSpPr/>
      </xdr:nvCxnSpPr>
      <xdr:spPr>
        <a:xfrm flipH="1" flipV="1">
          <a:off x="7719060" y="3215640"/>
          <a:ext cx="175260" cy="4419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18</xdr:row>
      <xdr:rowOff>167640</xdr:rowOff>
    </xdr:from>
    <xdr:to>
      <xdr:col>6</xdr:col>
      <xdr:colOff>1348740</xdr:colOff>
      <xdr:row>19</xdr:row>
      <xdr:rowOff>175260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3BDFECF7-1F5E-46F5-8E78-2C098746F206}"/>
            </a:ext>
          </a:extLst>
        </xdr:cNvPr>
        <xdr:cNvCxnSpPr/>
      </xdr:nvCxnSpPr>
      <xdr:spPr>
        <a:xfrm flipH="1" flipV="1">
          <a:off x="6537960" y="3520440"/>
          <a:ext cx="1295400" cy="190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1021080</xdr:colOff>
      <xdr:row>22</xdr:row>
      <xdr:rowOff>15240</xdr:rowOff>
    </xdr:from>
    <xdr:to>
      <xdr:col>6</xdr:col>
      <xdr:colOff>1417320</xdr:colOff>
      <xdr:row>28</xdr:row>
      <xdr:rowOff>137160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894F9968-C32C-409C-BE61-E4FF2BD38E61}"/>
            </a:ext>
          </a:extLst>
        </xdr:cNvPr>
        <xdr:cNvCxnSpPr/>
      </xdr:nvCxnSpPr>
      <xdr:spPr>
        <a:xfrm flipH="1">
          <a:off x="7505700" y="4099560"/>
          <a:ext cx="396240" cy="12192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121920</xdr:colOff>
      <xdr:row>12</xdr:row>
      <xdr:rowOff>76200</xdr:rowOff>
    </xdr:from>
    <xdr:to>
      <xdr:col>9</xdr:col>
      <xdr:colOff>1447800</xdr:colOff>
      <xdr:row>12</xdr:row>
      <xdr:rowOff>83820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6E32BB66-878E-6735-C60F-622A5351BFA0}"/>
            </a:ext>
          </a:extLst>
        </xdr:cNvPr>
        <xdr:cNvCxnSpPr/>
      </xdr:nvCxnSpPr>
      <xdr:spPr>
        <a:xfrm flipV="1">
          <a:off x="9593580" y="2331720"/>
          <a:ext cx="274320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106680</xdr:colOff>
      <xdr:row>29</xdr:row>
      <xdr:rowOff>76200</xdr:rowOff>
    </xdr:from>
    <xdr:to>
      <xdr:col>9</xdr:col>
      <xdr:colOff>1363980</xdr:colOff>
      <xdr:row>29</xdr:row>
      <xdr:rowOff>99060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AC0273AD-2F13-8DC8-2C9B-DCE5E227DC4A}"/>
            </a:ext>
          </a:extLst>
        </xdr:cNvPr>
        <xdr:cNvCxnSpPr/>
      </xdr:nvCxnSpPr>
      <xdr:spPr>
        <a:xfrm>
          <a:off x="9578340" y="5440680"/>
          <a:ext cx="1257300" cy="228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5C89-BD78-4821-9268-89D23F585081}">
  <dimension ref="A1:M8"/>
  <sheetViews>
    <sheetView workbookViewId="0">
      <selection sqref="A1:M8"/>
    </sheetView>
  </sheetViews>
  <sheetFormatPr defaultRowHeight="14.4"/>
  <cols>
    <col min="1" max="1" width="10.21875" bestFit="1" customWidth="1"/>
    <col min="2" max="2" width="13.44140625" bestFit="1" customWidth="1"/>
    <col min="3" max="3" width="17.6640625" bestFit="1" customWidth="1"/>
    <col min="4" max="4" width="9.5546875" bestFit="1" customWidth="1"/>
    <col min="5" max="5" width="16.44140625" bestFit="1" customWidth="1"/>
    <col min="6" max="6" width="17.5546875" bestFit="1" customWidth="1"/>
    <col min="7" max="7" width="20.5546875" bestFit="1" customWidth="1"/>
    <col min="8" max="8" width="17.5546875" bestFit="1" customWidth="1"/>
    <col min="9" max="9" width="20.5546875" bestFit="1" customWidth="1"/>
    <col min="10" max="10" width="10.21875" bestFit="1" customWidth="1"/>
    <col min="11" max="11" width="12.6640625" bestFit="1" customWidth="1"/>
    <col min="12" max="12" width="21.33203125" bestFit="1" customWidth="1"/>
    <col min="13" max="13" width="6" bestFit="1" customWidth="1"/>
  </cols>
  <sheetData>
    <row r="1" spans="1:13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>
      <c r="A2" s="3">
        <v>1</v>
      </c>
      <c r="B2" s="4" t="s">
        <v>13</v>
      </c>
      <c r="C2" s="4" t="s">
        <v>14</v>
      </c>
      <c r="D2" s="3">
        <v>101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45200</v>
      </c>
      <c r="K2" s="3">
        <v>201</v>
      </c>
      <c r="L2" s="4" t="s">
        <v>20</v>
      </c>
      <c r="M2" s="3">
        <v>85</v>
      </c>
    </row>
    <row r="3" spans="1:13" ht="15" thickBot="1">
      <c r="A3" s="6">
        <v>2</v>
      </c>
      <c r="B3" s="7" t="s">
        <v>21</v>
      </c>
      <c r="C3" s="7" t="s">
        <v>22</v>
      </c>
      <c r="D3" s="6">
        <v>101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8">
        <v>45200</v>
      </c>
      <c r="K3" s="6">
        <v>201</v>
      </c>
      <c r="L3" s="7" t="s">
        <v>20</v>
      </c>
      <c r="M3" s="6">
        <v>90</v>
      </c>
    </row>
    <row r="4" spans="1:13" ht="15" thickBot="1">
      <c r="A4" s="3">
        <v>1</v>
      </c>
      <c r="B4" s="4" t="s">
        <v>13</v>
      </c>
      <c r="C4" s="4" t="s">
        <v>14</v>
      </c>
      <c r="D4" s="3">
        <v>102</v>
      </c>
      <c r="E4" s="4" t="s">
        <v>23</v>
      </c>
      <c r="F4" s="4" t="s">
        <v>24</v>
      </c>
      <c r="G4" s="4" t="s">
        <v>25</v>
      </c>
      <c r="H4" s="4"/>
      <c r="I4" s="4"/>
      <c r="J4" s="5">
        <v>45202</v>
      </c>
      <c r="K4" s="3">
        <v>202</v>
      </c>
      <c r="L4" s="4" t="s">
        <v>26</v>
      </c>
      <c r="M4" s="3" t="s">
        <v>27</v>
      </c>
    </row>
    <row r="5" spans="1:13" ht="15" thickBot="1">
      <c r="A5" s="6">
        <v>3</v>
      </c>
      <c r="B5" s="7" t="s">
        <v>28</v>
      </c>
      <c r="C5" s="7" t="s">
        <v>29</v>
      </c>
      <c r="D5" s="6">
        <v>101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8">
        <v>45200</v>
      </c>
      <c r="K5" s="6">
        <v>201</v>
      </c>
      <c r="L5" s="7" t="s">
        <v>20</v>
      </c>
      <c r="M5" s="6">
        <v>92</v>
      </c>
    </row>
    <row r="6" spans="1:13" ht="15" thickBot="1">
      <c r="A6" s="3">
        <v>2</v>
      </c>
      <c r="B6" s="4" t="s">
        <v>21</v>
      </c>
      <c r="C6" s="4" t="s">
        <v>22</v>
      </c>
      <c r="D6" s="3">
        <v>102</v>
      </c>
      <c r="E6" s="4" t="s">
        <v>23</v>
      </c>
      <c r="F6" s="4" t="s">
        <v>24</v>
      </c>
      <c r="G6" s="4" t="s">
        <v>25</v>
      </c>
      <c r="H6" s="4"/>
      <c r="I6" s="4"/>
      <c r="J6" s="5">
        <v>45202</v>
      </c>
      <c r="K6" s="3">
        <v>203</v>
      </c>
      <c r="L6" s="4" t="s">
        <v>30</v>
      </c>
      <c r="M6" s="3">
        <v>87</v>
      </c>
    </row>
    <row r="7" spans="1:13" ht="15" thickBot="1">
      <c r="A7" s="6">
        <v>1</v>
      </c>
      <c r="B7" s="7" t="s">
        <v>13</v>
      </c>
      <c r="C7" s="7" t="s">
        <v>14</v>
      </c>
      <c r="D7" s="6">
        <v>101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19</v>
      </c>
      <c r="J7" s="8">
        <v>45204</v>
      </c>
      <c r="K7" s="6" t="s">
        <v>31</v>
      </c>
      <c r="L7" s="7" t="s">
        <v>32</v>
      </c>
      <c r="M7" s="6">
        <v>80</v>
      </c>
    </row>
    <row r="8" spans="1:13" ht="15" thickBot="1">
      <c r="A8" s="3">
        <v>3</v>
      </c>
      <c r="B8" s="4" t="s">
        <v>28</v>
      </c>
      <c r="C8" s="4" t="s">
        <v>29</v>
      </c>
      <c r="D8" s="3">
        <v>102</v>
      </c>
      <c r="E8" s="4" t="s">
        <v>23</v>
      </c>
      <c r="F8" s="4" t="s">
        <v>24</v>
      </c>
      <c r="G8" s="4" t="s">
        <v>25</v>
      </c>
      <c r="H8" s="4"/>
      <c r="I8" s="4"/>
      <c r="J8" s="5">
        <v>45202</v>
      </c>
      <c r="K8" s="3">
        <v>202</v>
      </c>
      <c r="L8" s="4" t="s">
        <v>26</v>
      </c>
      <c r="M8" s="3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E88B-3092-4D4D-8A28-37A6F85BA23D}">
  <dimension ref="A1:M23"/>
  <sheetViews>
    <sheetView workbookViewId="0">
      <selection activeCell="A23" sqref="A23"/>
    </sheetView>
  </sheetViews>
  <sheetFormatPr defaultRowHeight="14.4"/>
  <cols>
    <col min="1" max="1" width="10.33203125" bestFit="1" customWidth="1"/>
    <col min="2" max="2" width="13.5546875" bestFit="1" customWidth="1"/>
    <col min="3" max="3" width="17.77734375" bestFit="1" customWidth="1"/>
    <col min="4" max="4" width="9.6640625" bestFit="1" customWidth="1"/>
    <col min="5" max="5" width="16.5546875" bestFit="1" customWidth="1"/>
    <col min="6" max="6" width="17.6640625" bestFit="1" customWidth="1"/>
    <col min="7" max="7" width="21.77734375" customWidth="1"/>
    <col min="8" max="8" width="17.6640625" bestFit="1" customWidth="1"/>
    <col min="9" max="9" width="20.6640625" bestFit="1" customWidth="1"/>
    <col min="10" max="10" width="10.33203125" bestFit="1" customWidth="1"/>
    <col min="11" max="11" width="12.77734375" bestFit="1" customWidth="1"/>
    <col min="12" max="12" width="21.44140625" bestFit="1" customWidth="1"/>
    <col min="13" max="13" width="9.77734375" bestFit="1" customWidth="1"/>
  </cols>
  <sheetData>
    <row r="1" spans="1:13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>
      <c r="A2" s="3">
        <v>1</v>
      </c>
      <c r="B2" s="4" t="s">
        <v>13</v>
      </c>
      <c r="C2" s="4" t="s">
        <v>14</v>
      </c>
      <c r="D2" s="3">
        <v>101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45200</v>
      </c>
      <c r="K2" s="3">
        <v>201</v>
      </c>
      <c r="L2" s="4" t="s">
        <v>20</v>
      </c>
      <c r="M2" s="9">
        <v>85</v>
      </c>
    </row>
    <row r="3" spans="1:13" ht="15" thickBot="1">
      <c r="A3" s="6">
        <v>2</v>
      </c>
      <c r="B3" s="7" t="s">
        <v>21</v>
      </c>
      <c r="C3" s="7" t="s">
        <v>22</v>
      </c>
      <c r="D3" s="6">
        <v>101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8">
        <v>45200</v>
      </c>
      <c r="K3" s="6">
        <v>201</v>
      </c>
      <c r="L3" s="7" t="s">
        <v>20</v>
      </c>
      <c r="M3" s="10">
        <v>90</v>
      </c>
    </row>
    <row r="4" spans="1:13" ht="15" thickBot="1">
      <c r="A4" s="3">
        <v>1</v>
      </c>
      <c r="B4" s="4" t="s">
        <v>13</v>
      </c>
      <c r="C4" s="4" t="s">
        <v>14</v>
      </c>
      <c r="D4" s="3">
        <v>102</v>
      </c>
      <c r="E4" s="4" t="s">
        <v>23</v>
      </c>
      <c r="F4" s="4" t="s">
        <v>24</v>
      </c>
      <c r="G4" s="4" t="s">
        <v>25</v>
      </c>
      <c r="H4" s="4"/>
      <c r="I4" s="4"/>
      <c r="J4" s="5">
        <v>45202</v>
      </c>
      <c r="K4" s="3">
        <v>202</v>
      </c>
      <c r="L4" s="4" t="s">
        <v>26</v>
      </c>
      <c r="M4" s="9">
        <v>88.2</v>
      </c>
    </row>
    <row r="5" spans="1:13" ht="15" thickBot="1">
      <c r="A5" s="6">
        <v>3</v>
      </c>
      <c r="B5" s="7" t="s">
        <v>28</v>
      </c>
      <c r="C5" s="7" t="s">
        <v>29</v>
      </c>
      <c r="D5" s="6">
        <v>101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8">
        <v>45200</v>
      </c>
      <c r="K5" s="6">
        <v>201</v>
      </c>
      <c r="L5" s="7" t="s">
        <v>20</v>
      </c>
      <c r="M5" s="10">
        <v>92</v>
      </c>
    </row>
    <row r="6" spans="1:13" ht="15" thickBot="1">
      <c r="A6" s="3">
        <v>2</v>
      </c>
      <c r="B6" s="4" t="s">
        <v>21</v>
      </c>
      <c r="C6" s="4" t="s">
        <v>22</v>
      </c>
      <c r="D6" s="3">
        <v>102</v>
      </c>
      <c r="E6" s="4" t="s">
        <v>23</v>
      </c>
      <c r="F6" s="4" t="s">
        <v>24</v>
      </c>
      <c r="G6" s="4" t="s">
        <v>25</v>
      </c>
      <c r="H6" s="4"/>
      <c r="I6" s="4"/>
      <c r="J6" s="5">
        <v>45202</v>
      </c>
      <c r="K6" s="3">
        <v>203</v>
      </c>
      <c r="L6" s="4" t="s">
        <v>30</v>
      </c>
      <c r="M6" s="9">
        <v>87</v>
      </c>
    </row>
    <row r="7" spans="1:13" ht="15" thickBot="1">
      <c r="A7" s="6">
        <v>1</v>
      </c>
      <c r="B7" s="7" t="s">
        <v>13</v>
      </c>
      <c r="C7" s="7" t="s">
        <v>14</v>
      </c>
      <c r="D7" s="6">
        <v>101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19</v>
      </c>
      <c r="J7" s="8">
        <v>45204</v>
      </c>
      <c r="K7" s="6">
        <v>204</v>
      </c>
      <c r="L7" s="7" t="s">
        <v>32</v>
      </c>
      <c r="M7" s="10">
        <v>80</v>
      </c>
    </row>
    <row r="8" spans="1:13" ht="15" thickBot="1">
      <c r="A8" s="3">
        <v>3</v>
      </c>
      <c r="B8" s="4" t="s">
        <v>28</v>
      </c>
      <c r="C8" s="4" t="s">
        <v>29</v>
      </c>
      <c r="D8" s="3">
        <v>102</v>
      </c>
      <c r="E8" s="4" t="s">
        <v>23</v>
      </c>
      <c r="F8" s="4" t="s">
        <v>24</v>
      </c>
      <c r="G8" s="4" t="s">
        <v>25</v>
      </c>
      <c r="H8" s="4"/>
      <c r="I8" s="4"/>
      <c r="J8" s="5">
        <v>45202</v>
      </c>
      <c r="K8" s="3">
        <v>202</v>
      </c>
      <c r="L8" s="4" t="s">
        <v>26</v>
      </c>
      <c r="M8" s="9">
        <v>91</v>
      </c>
    </row>
    <row r="11" spans="1:13">
      <c r="A11" t="s">
        <v>33</v>
      </c>
    </row>
    <row r="12" spans="1:13" ht="15" thickBot="1"/>
    <row r="13" spans="1:13" ht="15" thickBot="1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</row>
    <row r="14" spans="1:13" ht="15" thickBot="1">
      <c r="A14" s="3" t="b">
        <f>A2='не нормалізована таблиця'!A2</f>
        <v>1</v>
      </c>
      <c r="B14" s="4" t="b">
        <f>B2='не нормалізована таблиця'!B2</f>
        <v>1</v>
      </c>
      <c r="C14" s="4" t="b">
        <f>C2='не нормалізована таблиця'!C2</f>
        <v>1</v>
      </c>
      <c r="D14" s="3" t="b">
        <f>D2='не нормалізована таблиця'!D2</f>
        <v>1</v>
      </c>
      <c r="E14" s="4" t="b">
        <f>E2='не нормалізована таблиця'!E2</f>
        <v>1</v>
      </c>
      <c r="F14" s="4" t="b">
        <f>F2='не нормалізована таблиця'!F2</f>
        <v>1</v>
      </c>
      <c r="G14" s="4" t="b">
        <f>G2='не нормалізована таблиця'!G2</f>
        <v>1</v>
      </c>
      <c r="H14" s="4" t="b">
        <f>H2='не нормалізована таблиця'!H2</f>
        <v>1</v>
      </c>
      <c r="I14" s="4" t="b">
        <f>I2='не нормалізована таблиця'!I2</f>
        <v>1</v>
      </c>
      <c r="J14" s="5" t="b">
        <f>J2='не нормалізована таблиця'!J2</f>
        <v>1</v>
      </c>
      <c r="K14" s="3" t="b">
        <f>K2='не нормалізована таблиця'!K2</f>
        <v>1</v>
      </c>
      <c r="L14" s="4" t="b">
        <f>L2='не нормалізована таблиця'!L2</f>
        <v>1</v>
      </c>
      <c r="M14" s="9" t="b">
        <f>M2='не нормалізована таблиця'!M2</f>
        <v>1</v>
      </c>
    </row>
    <row r="15" spans="1:13" ht="15" thickBot="1">
      <c r="A15" s="6" t="b">
        <f>A3='не нормалізована таблиця'!A3</f>
        <v>1</v>
      </c>
      <c r="B15" s="7" t="b">
        <f>B3='не нормалізована таблиця'!B3</f>
        <v>1</v>
      </c>
      <c r="C15" s="7" t="b">
        <f>C3='не нормалізована таблиця'!C3</f>
        <v>1</v>
      </c>
      <c r="D15" s="6" t="b">
        <f>D3='не нормалізована таблиця'!D3</f>
        <v>1</v>
      </c>
      <c r="E15" s="7" t="b">
        <f>E3='не нормалізована таблиця'!E3</f>
        <v>1</v>
      </c>
      <c r="F15" s="7" t="b">
        <f>F3='не нормалізована таблиця'!F3</f>
        <v>1</v>
      </c>
      <c r="G15" s="7" t="b">
        <f>G3='не нормалізована таблиця'!G3</f>
        <v>1</v>
      </c>
      <c r="H15" s="7" t="b">
        <f>H3='не нормалізована таблиця'!H3</f>
        <v>1</v>
      </c>
      <c r="I15" s="7" t="b">
        <f>I3='не нормалізована таблиця'!I3</f>
        <v>1</v>
      </c>
      <c r="J15" s="8" t="b">
        <f>J3='не нормалізована таблиця'!J3</f>
        <v>1</v>
      </c>
      <c r="K15" s="6" t="b">
        <f>K3='не нормалізована таблиця'!K3</f>
        <v>1</v>
      </c>
      <c r="L15" s="7" t="b">
        <f>L3='не нормалізована таблиця'!L3</f>
        <v>1</v>
      </c>
      <c r="M15" s="10" t="b">
        <f>M3='не нормалізована таблиця'!M3</f>
        <v>1</v>
      </c>
    </row>
    <row r="16" spans="1:13" ht="15" thickBot="1">
      <c r="A16" s="3" t="b">
        <f>A4='не нормалізована таблиця'!A4</f>
        <v>1</v>
      </c>
      <c r="B16" s="4" t="b">
        <f>B4='не нормалізована таблиця'!B4</f>
        <v>1</v>
      </c>
      <c r="C16" s="4" t="b">
        <f>C4='не нормалізована таблиця'!C4</f>
        <v>1</v>
      </c>
      <c r="D16" s="3" t="b">
        <f>D4='не нормалізована таблиця'!D4</f>
        <v>1</v>
      </c>
      <c r="E16" s="4" t="b">
        <f>E4='не нормалізована таблиця'!E4</f>
        <v>1</v>
      </c>
      <c r="F16" s="4" t="b">
        <f>F4='не нормалізована таблиця'!F4</f>
        <v>1</v>
      </c>
      <c r="G16" s="4" t="b">
        <f>G4='не нормалізована таблиця'!G4</f>
        <v>1</v>
      </c>
      <c r="H16" s="4" t="b">
        <f>H4='не нормалізована таблиця'!H4</f>
        <v>1</v>
      </c>
      <c r="I16" s="4" t="b">
        <f>I4='не нормалізована таблиця'!I4</f>
        <v>1</v>
      </c>
      <c r="J16" s="5" t="b">
        <f>J4='не нормалізована таблиця'!J4</f>
        <v>1</v>
      </c>
      <c r="K16" s="3" t="b">
        <f>K4='не нормалізована таблиця'!K4</f>
        <v>1</v>
      </c>
      <c r="L16" s="4" t="b">
        <f>L4='не нормалізована таблиця'!L4</f>
        <v>1</v>
      </c>
      <c r="M16" s="9" t="b">
        <f>M4='не нормалізована таблиця'!M4</f>
        <v>0</v>
      </c>
    </row>
    <row r="17" spans="1:13" ht="15" thickBot="1">
      <c r="A17" s="6" t="b">
        <f>A5='не нормалізована таблиця'!A5</f>
        <v>1</v>
      </c>
      <c r="B17" s="7" t="b">
        <f>B5='не нормалізована таблиця'!B5</f>
        <v>1</v>
      </c>
      <c r="C17" s="7" t="b">
        <f>C5='не нормалізована таблиця'!C5</f>
        <v>1</v>
      </c>
      <c r="D17" s="6" t="b">
        <f>D5='не нормалізована таблиця'!D5</f>
        <v>1</v>
      </c>
      <c r="E17" s="7" t="b">
        <f>E5='не нормалізована таблиця'!E5</f>
        <v>1</v>
      </c>
      <c r="F17" s="7" t="b">
        <f>F5='не нормалізована таблиця'!F5</f>
        <v>1</v>
      </c>
      <c r="G17" s="7" t="b">
        <f>G5='не нормалізована таблиця'!G5</f>
        <v>1</v>
      </c>
      <c r="H17" s="7" t="b">
        <f>H5='не нормалізована таблиця'!H5</f>
        <v>1</v>
      </c>
      <c r="I17" s="7" t="b">
        <f>I5='не нормалізована таблиця'!I5</f>
        <v>1</v>
      </c>
      <c r="J17" s="8" t="b">
        <f>J5='не нормалізована таблиця'!J5</f>
        <v>1</v>
      </c>
      <c r="K17" s="6" t="b">
        <f>K5='не нормалізована таблиця'!K5</f>
        <v>1</v>
      </c>
      <c r="L17" s="7" t="b">
        <f>L5='не нормалізована таблиця'!L5</f>
        <v>1</v>
      </c>
      <c r="M17" s="10" t="b">
        <f>M5='не нормалізована таблиця'!M5</f>
        <v>1</v>
      </c>
    </row>
    <row r="18" spans="1:13" ht="15" thickBot="1">
      <c r="A18" s="3" t="b">
        <f>A6='не нормалізована таблиця'!A6</f>
        <v>1</v>
      </c>
      <c r="B18" s="4" t="b">
        <f>B6='не нормалізована таблиця'!B6</f>
        <v>1</v>
      </c>
      <c r="C18" s="4" t="b">
        <f>C6='не нормалізована таблиця'!C6</f>
        <v>1</v>
      </c>
      <c r="D18" s="3" t="b">
        <f>D6='не нормалізована таблиця'!D6</f>
        <v>1</v>
      </c>
      <c r="E18" s="4" t="b">
        <f>E6='не нормалізована таблиця'!E6</f>
        <v>1</v>
      </c>
      <c r="F18" s="4" t="b">
        <f>F6='не нормалізована таблиця'!F6</f>
        <v>1</v>
      </c>
      <c r="G18" s="4" t="b">
        <f>G6='не нормалізована таблиця'!G6</f>
        <v>1</v>
      </c>
      <c r="H18" s="4" t="b">
        <f>H6='не нормалізована таблиця'!H6</f>
        <v>1</v>
      </c>
      <c r="I18" s="4" t="b">
        <f>I6='не нормалізована таблиця'!I6</f>
        <v>1</v>
      </c>
      <c r="J18" s="5" t="b">
        <f>J6='не нормалізована таблиця'!J6</f>
        <v>1</v>
      </c>
      <c r="K18" s="3" t="b">
        <f>K6='не нормалізована таблиця'!K6</f>
        <v>1</v>
      </c>
      <c r="L18" s="4" t="b">
        <f>L6='не нормалізована таблиця'!L6</f>
        <v>1</v>
      </c>
      <c r="M18" s="9" t="b">
        <f>M6='не нормалізована таблиця'!M6</f>
        <v>1</v>
      </c>
    </row>
    <row r="19" spans="1:13" ht="15" thickBot="1">
      <c r="A19" s="6" t="b">
        <f>A7='не нормалізована таблиця'!A7</f>
        <v>1</v>
      </c>
      <c r="B19" s="7" t="b">
        <f>B7='не нормалізована таблиця'!B7</f>
        <v>1</v>
      </c>
      <c r="C19" s="7" t="b">
        <f>C7='не нормалізована таблиця'!C7</f>
        <v>1</v>
      </c>
      <c r="D19" s="6" t="b">
        <f>D7='не нормалізована таблиця'!D7</f>
        <v>1</v>
      </c>
      <c r="E19" s="7" t="b">
        <f>E7='не нормалізована таблиця'!E7</f>
        <v>1</v>
      </c>
      <c r="F19" s="7" t="b">
        <f>F7='не нормалізована таблиця'!F7</f>
        <v>1</v>
      </c>
      <c r="G19" s="7" t="b">
        <f>G7='не нормалізована таблиця'!G7</f>
        <v>1</v>
      </c>
      <c r="H19" s="7" t="b">
        <f>H7='не нормалізована таблиця'!H7</f>
        <v>1</v>
      </c>
      <c r="I19" s="7" t="b">
        <f>I7='не нормалізована таблиця'!I7</f>
        <v>1</v>
      </c>
      <c r="J19" s="8" t="b">
        <f>J7='не нормалізована таблиця'!J7</f>
        <v>1</v>
      </c>
      <c r="K19" s="6" t="b">
        <f>K7='не нормалізована таблиця'!K7</f>
        <v>0</v>
      </c>
      <c r="L19" s="7" t="b">
        <f>L7='не нормалізована таблиця'!L7</f>
        <v>1</v>
      </c>
      <c r="M19" s="10" t="b">
        <f>M7='не нормалізована таблиця'!M7</f>
        <v>1</v>
      </c>
    </row>
    <row r="20" spans="1:13" ht="15" thickBot="1">
      <c r="A20" s="3" t="b">
        <f>A8='не нормалізована таблиця'!A8</f>
        <v>1</v>
      </c>
      <c r="B20" s="4" t="b">
        <f>B8='не нормалізована таблиця'!B8</f>
        <v>1</v>
      </c>
      <c r="C20" s="4" t="b">
        <f>C8='не нормалізована таблиця'!C8</f>
        <v>1</v>
      </c>
      <c r="D20" s="3" t="b">
        <f>D8='не нормалізована таблиця'!D8</f>
        <v>1</v>
      </c>
      <c r="E20" s="4" t="b">
        <f>E8='не нормалізована таблиця'!E8</f>
        <v>1</v>
      </c>
      <c r="F20" s="4" t="b">
        <f>F8='не нормалізована таблиця'!F8</f>
        <v>1</v>
      </c>
      <c r="G20" s="4" t="b">
        <f>G8='не нормалізована таблиця'!G8</f>
        <v>1</v>
      </c>
      <c r="H20" s="4" t="b">
        <f>H8='не нормалізована таблиця'!H8</f>
        <v>1</v>
      </c>
      <c r="I20" s="4" t="b">
        <f>I8='не нормалізована таблиця'!I8</f>
        <v>1</v>
      </c>
      <c r="J20" s="5" t="b">
        <f>J8='не нормалізована таблиця'!J8</f>
        <v>1</v>
      </c>
      <c r="K20" s="3" t="b">
        <f>K8='не нормалізована таблиця'!K8</f>
        <v>1</v>
      </c>
      <c r="L20" s="4" t="b">
        <f>L8='не нормалізована таблиця'!L8</f>
        <v>1</v>
      </c>
      <c r="M20" s="9" t="b">
        <f>M8='не нормалізована таблиця'!M8</f>
        <v>1</v>
      </c>
    </row>
    <row r="22" spans="1:13">
      <c r="A22" t="s">
        <v>37</v>
      </c>
    </row>
    <row r="23" spans="1:13">
      <c r="A23" t="s">
        <v>36</v>
      </c>
    </row>
  </sheetData>
  <conditionalFormatting sqref="A14:M20">
    <cfRule type="cellIs" dxfId="1" priority="1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D54F-3DCD-4924-A670-FD2A92C6779D}">
  <dimension ref="A1:P38"/>
  <sheetViews>
    <sheetView workbookViewId="0">
      <selection activeCell="N2" sqref="N2"/>
    </sheetView>
  </sheetViews>
  <sheetFormatPr defaultRowHeight="14.4"/>
  <cols>
    <col min="1" max="1" width="13.44140625" customWidth="1"/>
    <col min="2" max="2" width="13.5546875" bestFit="1" customWidth="1"/>
    <col min="3" max="3" width="17.77734375" bestFit="1" customWidth="1"/>
    <col min="4" max="4" width="15.5546875" customWidth="1"/>
    <col min="5" max="5" width="16.5546875" bestFit="1" customWidth="1"/>
    <col min="6" max="6" width="17.6640625" bestFit="1" customWidth="1"/>
    <col min="7" max="8" width="21.77734375" customWidth="1"/>
    <col min="9" max="9" width="20.6640625" bestFit="1" customWidth="1"/>
    <col min="10" max="10" width="22.33203125" customWidth="1"/>
    <col min="11" max="11" width="12.77734375" bestFit="1" customWidth="1"/>
    <col min="12" max="12" width="21.44140625" bestFit="1" customWidth="1"/>
    <col min="13" max="13" width="9.77734375" bestFit="1" customWidth="1"/>
    <col min="16" max="16" width="10.109375" bestFit="1" customWidth="1"/>
  </cols>
  <sheetData>
    <row r="1" spans="1:13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>
      <c r="A2" s="3">
        <v>1</v>
      </c>
      <c r="B2" s="4" t="s">
        <v>13</v>
      </c>
      <c r="C2" s="4" t="s">
        <v>14</v>
      </c>
      <c r="D2" s="3">
        <v>101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45200</v>
      </c>
      <c r="K2" s="3">
        <v>201</v>
      </c>
      <c r="L2" s="4" t="s">
        <v>20</v>
      </c>
      <c r="M2" s="9">
        <v>85</v>
      </c>
    </row>
    <row r="3" spans="1:13" ht="15" thickBot="1">
      <c r="A3" s="6">
        <v>2</v>
      </c>
      <c r="B3" s="7" t="s">
        <v>21</v>
      </c>
      <c r="C3" s="7" t="s">
        <v>22</v>
      </c>
      <c r="D3" s="6">
        <v>101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8">
        <v>45200</v>
      </c>
      <c r="K3" s="6">
        <v>201</v>
      </c>
      <c r="L3" s="7" t="s">
        <v>20</v>
      </c>
      <c r="M3" s="10">
        <v>90</v>
      </c>
    </row>
    <row r="4" spans="1:13" ht="15" thickBot="1">
      <c r="A4" s="3">
        <v>1</v>
      </c>
      <c r="B4" s="4" t="s">
        <v>13</v>
      </c>
      <c r="C4" s="4" t="s">
        <v>14</v>
      </c>
      <c r="D4" s="3">
        <v>102</v>
      </c>
      <c r="E4" s="4" t="s">
        <v>23</v>
      </c>
      <c r="F4" s="4" t="s">
        <v>24</v>
      </c>
      <c r="G4" s="4" t="s">
        <v>25</v>
      </c>
      <c r="H4" s="4"/>
      <c r="I4" s="4"/>
      <c r="J4" s="5">
        <v>45202</v>
      </c>
      <c r="K4" s="3">
        <v>202</v>
      </c>
      <c r="L4" s="4" t="s">
        <v>26</v>
      </c>
      <c r="M4" s="9">
        <v>88.2</v>
      </c>
    </row>
    <row r="5" spans="1:13" ht="15" thickBot="1">
      <c r="A5" s="6">
        <v>3</v>
      </c>
      <c r="B5" s="7" t="s">
        <v>28</v>
      </c>
      <c r="C5" s="7" t="s">
        <v>29</v>
      </c>
      <c r="D5" s="6">
        <v>101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8">
        <v>45200</v>
      </c>
      <c r="K5" s="6">
        <v>201</v>
      </c>
      <c r="L5" s="7" t="s">
        <v>20</v>
      </c>
      <c r="M5" s="10">
        <v>92</v>
      </c>
    </row>
    <row r="6" spans="1:13" ht="15" thickBot="1">
      <c r="A6" s="3">
        <v>2</v>
      </c>
      <c r="B6" s="4" t="s">
        <v>21</v>
      </c>
      <c r="C6" s="4" t="s">
        <v>22</v>
      </c>
      <c r="D6" s="3">
        <v>102</v>
      </c>
      <c r="E6" s="4" t="s">
        <v>23</v>
      </c>
      <c r="F6" s="4" t="s">
        <v>24</v>
      </c>
      <c r="G6" s="4" t="s">
        <v>25</v>
      </c>
      <c r="H6" s="4"/>
      <c r="I6" s="4"/>
      <c r="J6" s="5">
        <v>45202</v>
      </c>
      <c r="K6" s="3">
        <v>203</v>
      </c>
      <c r="L6" s="4" t="s">
        <v>30</v>
      </c>
      <c r="M6" s="9">
        <v>87</v>
      </c>
    </row>
    <row r="7" spans="1:13" ht="15" thickBot="1">
      <c r="A7" s="6">
        <v>1</v>
      </c>
      <c r="B7" s="7" t="s">
        <v>13</v>
      </c>
      <c r="C7" s="7" t="s">
        <v>14</v>
      </c>
      <c r="D7" s="6">
        <v>101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19</v>
      </c>
      <c r="J7" s="8">
        <v>45204</v>
      </c>
      <c r="K7" s="6">
        <v>204</v>
      </c>
      <c r="L7" s="7" t="s">
        <v>32</v>
      </c>
      <c r="M7" s="10">
        <v>80</v>
      </c>
    </row>
    <row r="8" spans="1:13" ht="15" thickBot="1">
      <c r="A8" s="3">
        <v>3</v>
      </c>
      <c r="B8" s="4" t="s">
        <v>28</v>
      </c>
      <c r="C8" s="4" t="s">
        <v>29</v>
      </c>
      <c r="D8" s="3">
        <v>102</v>
      </c>
      <c r="E8" s="4" t="s">
        <v>23</v>
      </c>
      <c r="F8" s="4" t="s">
        <v>24</v>
      </c>
      <c r="G8" s="4" t="s">
        <v>25</v>
      </c>
      <c r="H8" s="4"/>
      <c r="I8" s="4"/>
      <c r="J8" s="5">
        <v>45202</v>
      </c>
      <c r="K8" s="3">
        <v>202</v>
      </c>
      <c r="L8" s="4" t="s">
        <v>26</v>
      </c>
      <c r="M8" s="9">
        <v>91</v>
      </c>
    </row>
    <row r="10" spans="1:13">
      <c r="C10" s="15"/>
      <c r="D10" t="s">
        <v>40</v>
      </c>
    </row>
    <row r="11" spans="1:13">
      <c r="G11" t="s">
        <v>45</v>
      </c>
      <c r="J11" t="s">
        <v>70</v>
      </c>
    </row>
    <row r="12" spans="1:13">
      <c r="A12" t="s">
        <v>55</v>
      </c>
      <c r="C12" s="17" t="s">
        <v>38</v>
      </c>
      <c r="G12" s="17" t="s">
        <v>44</v>
      </c>
      <c r="J12" t="s">
        <v>71</v>
      </c>
    </row>
    <row r="13" spans="1:13">
      <c r="A13" t="s">
        <v>56</v>
      </c>
      <c r="C13" s="16" t="s">
        <v>0</v>
      </c>
      <c r="D13" s="11" t="s">
        <v>1</v>
      </c>
      <c r="G13" s="16" t="s">
        <v>3</v>
      </c>
      <c r="H13" s="16" t="s">
        <v>35</v>
      </c>
      <c r="I13" s="11" t="s">
        <v>34</v>
      </c>
      <c r="J13" t="s">
        <v>72</v>
      </c>
    </row>
    <row r="14" spans="1:13">
      <c r="C14" s="12">
        <v>1</v>
      </c>
      <c r="D14" s="12" t="s">
        <v>13</v>
      </c>
      <c r="G14" s="12">
        <v>101</v>
      </c>
      <c r="H14" s="12" t="s">
        <v>17</v>
      </c>
      <c r="I14" s="12" t="s">
        <v>16</v>
      </c>
      <c r="J14" t="s">
        <v>73</v>
      </c>
    </row>
    <row r="15" spans="1:13">
      <c r="C15" s="12">
        <v>2</v>
      </c>
      <c r="D15" s="12" t="s">
        <v>21</v>
      </c>
      <c r="E15" t="s">
        <v>48</v>
      </c>
      <c r="G15" s="12">
        <v>101</v>
      </c>
      <c r="H15" s="12" t="s">
        <v>19</v>
      </c>
      <c r="I15" s="12" t="s">
        <v>18</v>
      </c>
      <c r="J15" s="18" t="s">
        <v>74</v>
      </c>
    </row>
    <row r="16" spans="1:13">
      <c r="A16" t="s">
        <v>41</v>
      </c>
      <c r="C16" s="12">
        <v>3</v>
      </c>
      <c r="D16" s="12" t="s">
        <v>28</v>
      </c>
      <c r="E16" t="s">
        <v>49</v>
      </c>
      <c r="G16" s="12">
        <v>102</v>
      </c>
      <c r="H16" s="12" t="s">
        <v>25</v>
      </c>
      <c r="I16" s="12" t="s">
        <v>24</v>
      </c>
      <c r="J16" s="18" t="s">
        <v>75</v>
      </c>
    </row>
    <row r="17" spans="1:16">
      <c r="A17" t="s">
        <v>42</v>
      </c>
      <c r="D17" s="18" t="s">
        <v>56</v>
      </c>
      <c r="E17" t="s">
        <v>50</v>
      </c>
      <c r="G17" t="s">
        <v>46</v>
      </c>
    </row>
    <row r="18" spans="1:16">
      <c r="A18" s="17" t="s">
        <v>39</v>
      </c>
      <c r="E18" s="17" t="s">
        <v>47</v>
      </c>
      <c r="F18" t="s">
        <v>67</v>
      </c>
      <c r="J18" s="18" t="s">
        <v>76</v>
      </c>
      <c r="P18" s="1"/>
    </row>
    <row r="19" spans="1:16">
      <c r="A19" s="16" t="s">
        <v>0</v>
      </c>
      <c r="B19" s="16" t="s">
        <v>2</v>
      </c>
      <c r="E19" s="16" t="s">
        <v>0</v>
      </c>
      <c r="F19" s="16" t="s">
        <v>3</v>
      </c>
      <c r="G19" s="21" t="s">
        <v>58</v>
      </c>
      <c r="H19" s="17" t="s">
        <v>43</v>
      </c>
      <c r="P19" s="1"/>
    </row>
    <row r="20" spans="1:16">
      <c r="A20" s="12">
        <v>1</v>
      </c>
      <c r="B20" s="12" t="s">
        <v>14</v>
      </c>
      <c r="E20" s="12">
        <v>1</v>
      </c>
      <c r="F20" s="12">
        <v>101</v>
      </c>
      <c r="H20" s="16" t="s">
        <v>3</v>
      </c>
      <c r="I20" s="11" t="s">
        <v>4</v>
      </c>
      <c r="P20" s="1"/>
    </row>
    <row r="21" spans="1:16">
      <c r="A21" s="12">
        <v>2</v>
      </c>
      <c r="B21" s="12" t="s">
        <v>22</v>
      </c>
      <c r="E21" s="12">
        <v>2</v>
      </c>
      <c r="F21" s="12">
        <v>101</v>
      </c>
      <c r="G21" s="20" t="s">
        <v>57</v>
      </c>
      <c r="H21" s="12">
        <v>101</v>
      </c>
      <c r="I21" s="12" t="s">
        <v>15</v>
      </c>
      <c r="P21" s="1"/>
    </row>
    <row r="22" spans="1:16">
      <c r="A22" s="12">
        <v>3</v>
      </c>
      <c r="B22" s="12" t="s">
        <v>29</v>
      </c>
      <c r="E22" s="12">
        <v>3</v>
      </c>
      <c r="F22" s="12">
        <v>101</v>
      </c>
      <c r="H22" s="12">
        <v>102</v>
      </c>
      <c r="I22" s="12" t="s">
        <v>23</v>
      </c>
      <c r="P22" s="1"/>
    </row>
    <row r="23" spans="1:16">
      <c r="E23" s="12">
        <v>1</v>
      </c>
      <c r="F23" s="12">
        <v>102</v>
      </c>
      <c r="P23" s="1"/>
    </row>
    <row r="24" spans="1:16">
      <c r="E24" s="12">
        <v>2</v>
      </c>
      <c r="F24" s="12">
        <v>102</v>
      </c>
      <c r="P24" s="1"/>
    </row>
    <row r="25" spans="1:16">
      <c r="C25" s="19" t="s">
        <v>61</v>
      </c>
      <c r="E25" s="12">
        <v>3</v>
      </c>
      <c r="F25" s="12">
        <v>102</v>
      </c>
      <c r="P25" s="1"/>
    </row>
    <row r="26" spans="1:16">
      <c r="C26" t="s">
        <v>48</v>
      </c>
      <c r="H26" s="20" t="s">
        <v>59</v>
      </c>
    </row>
    <row r="27" spans="1:16">
      <c r="C27" t="s">
        <v>49</v>
      </c>
    </row>
    <row r="28" spans="1:16">
      <c r="C28" t="s">
        <v>54</v>
      </c>
      <c r="H28" t="s">
        <v>52</v>
      </c>
    </row>
    <row r="29" spans="1:16">
      <c r="B29" s="17" t="s">
        <v>53</v>
      </c>
      <c r="G29" s="17" t="s">
        <v>51</v>
      </c>
    </row>
    <row r="30" spans="1:16">
      <c r="B30" s="16" t="s">
        <v>0</v>
      </c>
      <c r="C30" s="16" t="s">
        <v>10</v>
      </c>
      <c r="D30" s="11" t="s">
        <v>12</v>
      </c>
      <c r="G30" s="11" t="s">
        <v>3</v>
      </c>
      <c r="H30" s="11" t="s">
        <v>9</v>
      </c>
      <c r="I30" s="16" t="s">
        <v>10</v>
      </c>
      <c r="J30" s="11" t="s">
        <v>11</v>
      </c>
    </row>
    <row r="31" spans="1:16">
      <c r="B31" s="12">
        <v>1</v>
      </c>
      <c r="C31" s="12">
        <v>201</v>
      </c>
      <c r="D31" s="13">
        <v>85</v>
      </c>
      <c r="G31" s="12">
        <v>101</v>
      </c>
      <c r="H31" s="14">
        <v>45200</v>
      </c>
      <c r="I31" s="12">
        <v>201</v>
      </c>
      <c r="J31" s="12" t="s">
        <v>20</v>
      </c>
    </row>
    <row r="32" spans="1:16">
      <c r="B32" s="12">
        <v>2</v>
      </c>
      <c r="C32" s="12">
        <v>201</v>
      </c>
      <c r="D32" s="13">
        <v>90</v>
      </c>
      <c r="G32" s="12">
        <v>102</v>
      </c>
      <c r="H32" s="14">
        <v>45202</v>
      </c>
      <c r="I32" s="12">
        <v>202</v>
      </c>
      <c r="J32" s="12" t="s">
        <v>26</v>
      </c>
    </row>
    <row r="33" spans="2:10">
      <c r="B33" s="12">
        <v>1</v>
      </c>
      <c r="C33" s="12">
        <v>202</v>
      </c>
      <c r="D33" s="13">
        <v>88.2</v>
      </c>
      <c r="G33" s="12">
        <v>102</v>
      </c>
      <c r="H33" s="14">
        <v>45202</v>
      </c>
      <c r="I33" s="12">
        <v>203</v>
      </c>
      <c r="J33" s="12" t="s">
        <v>30</v>
      </c>
    </row>
    <row r="34" spans="2:10">
      <c r="B34" s="12">
        <v>3</v>
      </c>
      <c r="C34" s="12">
        <v>201</v>
      </c>
      <c r="D34" s="13">
        <v>92</v>
      </c>
      <c r="G34" s="12">
        <v>101</v>
      </c>
      <c r="H34" s="14">
        <v>45204</v>
      </c>
      <c r="I34" s="12">
        <v>204</v>
      </c>
      <c r="J34" s="12" t="s">
        <v>32</v>
      </c>
    </row>
    <row r="35" spans="2:10">
      <c r="B35" s="12">
        <v>2</v>
      </c>
      <c r="C35" s="12">
        <v>203</v>
      </c>
      <c r="D35" s="13">
        <v>87</v>
      </c>
    </row>
    <row r="36" spans="2:10">
      <c r="B36" s="12">
        <v>1</v>
      </c>
      <c r="C36" s="12">
        <v>204</v>
      </c>
      <c r="D36" s="13">
        <v>80</v>
      </c>
    </row>
    <row r="37" spans="2:10">
      <c r="B37" s="12">
        <v>3</v>
      </c>
      <c r="C37" s="12">
        <v>202</v>
      </c>
      <c r="D37" s="13">
        <v>91</v>
      </c>
    </row>
    <row r="38" spans="2:10">
      <c r="G38" s="19" t="s">
        <v>60</v>
      </c>
    </row>
  </sheetData>
  <autoFilter ref="A1:M8" xr:uid="{AAE0D54F-3DCD-4924-A670-FD2A92C6779D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6D05-167D-46C2-AEB3-58CBC9853821}">
  <dimension ref="A1:P39"/>
  <sheetViews>
    <sheetView tabSelected="1" workbookViewId="0">
      <selection activeCell="K18" sqref="K18"/>
    </sheetView>
  </sheetViews>
  <sheetFormatPr defaultRowHeight="14.4"/>
  <cols>
    <col min="1" max="1" width="13.44140625" customWidth="1"/>
    <col min="2" max="2" width="13.5546875" bestFit="1" customWidth="1"/>
    <col min="3" max="3" width="17.77734375" bestFit="1" customWidth="1"/>
    <col min="4" max="4" width="15.5546875" customWidth="1"/>
    <col min="5" max="5" width="16.5546875" bestFit="1" customWidth="1"/>
    <col min="6" max="6" width="17.6640625" bestFit="1" customWidth="1"/>
    <col min="7" max="8" width="21.77734375" customWidth="1"/>
    <col min="9" max="9" width="20.6640625" bestFit="1" customWidth="1"/>
    <col min="10" max="10" width="15.21875" customWidth="1"/>
    <col min="11" max="11" width="22.33203125" customWidth="1"/>
    <col min="12" max="12" width="21.44140625" bestFit="1" customWidth="1"/>
    <col min="13" max="13" width="20.109375" customWidth="1"/>
    <col min="16" max="16" width="10.109375" bestFit="1" customWidth="1"/>
  </cols>
  <sheetData>
    <row r="1" spans="1:13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>
      <c r="A2" s="3">
        <v>1</v>
      </c>
      <c r="B2" s="4" t="s">
        <v>13</v>
      </c>
      <c r="C2" s="4" t="s">
        <v>14</v>
      </c>
      <c r="D2" s="3">
        <v>101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45200</v>
      </c>
      <c r="K2" s="3">
        <v>201</v>
      </c>
      <c r="L2" s="4" t="s">
        <v>20</v>
      </c>
      <c r="M2" s="9">
        <v>85</v>
      </c>
    </row>
    <row r="3" spans="1:13" ht="15" thickBot="1">
      <c r="A3" s="6">
        <v>2</v>
      </c>
      <c r="B3" s="7" t="s">
        <v>21</v>
      </c>
      <c r="C3" s="7" t="s">
        <v>22</v>
      </c>
      <c r="D3" s="6">
        <v>101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8">
        <v>45200</v>
      </c>
      <c r="K3" s="6">
        <v>201</v>
      </c>
      <c r="L3" s="7" t="s">
        <v>20</v>
      </c>
      <c r="M3" s="10">
        <v>90</v>
      </c>
    </row>
    <row r="4" spans="1:13" ht="15" thickBot="1">
      <c r="A4" s="3">
        <v>1</v>
      </c>
      <c r="B4" s="4" t="s">
        <v>13</v>
      </c>
      <c r="C4" s="4" t="s">
        <v>14</v>
      </c>
      <c r="D4" s="3">
        <v>102</v>
      </c>
      <c r="E4" s="4" t="s">
        <v>23</v>
      </c>
      <c r="F4" s="4" t="s">
        <v>24</v>
      </c>
      <c r="G4" s="4" t="s">
        <v>25</v>
      </c>
      <c r="H4" s="4"/>
      <c r="I4" s="4"/>
      <c r="J4" s="5">
        <v>45202</v>
      </c>
      <c r="K4" s="3">
        <v>202</v>
      </c>
      <c r="L4" s="4" t="s">
        <v>26</v>
      </c>
      <c r="M4" s="9">
        <v>88.2</v>
      </c>
    </row>
    <row r="5" spans="1:13" ht="15" thickBot="1">
      <c r="A5" s="6">
        <v>3</v>
      </c>
      <c r="B5" s="7" t="s">
        <v>28</v>
      </c>
      <c r="C5" s="7" t="s">
        <v>29</v>
      </c>
      <c r="D5" s="6">
        <v>101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8">
        <v>45200</v>
      </c>
      <c r="K5" s="6">
        <v>201</v>
      </c>
      <c r="L5" s="7" t="s">
        <v>20</v>
      </c>
      <c r="M5" s="10">
        <v>92</v>
      </c>
    </row>
    <row r="6" spans="1:13" ht="15" thickBot="1">
      <c r="A6" s="3">
        <v>2</v>
      </c>
      <c r="B6" s="4" t="s">
        <v>21</v>
      </c>
      <c r="C6" s="4" t="s">
        <v>22</v>
      </c>
      <c r="D6" s="3">
        <v>102</v>
      </c>
      <c r="E6" s="4" t="s">
        <v>23</v>
      </c>
      <c r="F6" s="4" t="s">
        <v>24</v>
      </c>
      <c r="G6" s="4" t="s">
        <v>25</v>
      </c>
      <c r="H6" s="4"/>
      <c r="I6" s="4"/>
      <c r="J6" s="5">
        <v>45202</v>
      </c>
      <c r="K6" s="3">
        <v>203</v>
      </c>
      <c r="L6" s="4" t="s">
        <v>30</v>
      </c>
      <c r="M6" s="9">
        <v>87</v>
      </c>
    </row>
    <row r="7" spans="1:13" ht="15" thickBot="1">
      <c r="A7" s="6">
        <v>1</v>
      </c>
      <c r="B7" s="7" t="s">
        <v>13</v>
      </c>
      <c r="C7" s="7" t="s">
        <v>14</v>
      </c>
      <c r="D7" s="6">
        <v>101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19</v>
      </c>
      <c r="J7" s="8">
        <v>45204</v>
      </c>
      <c r="K7" s="6">
        <v>204</v>
      </c>
      <c r="L7" s="7" t="s">
        <v>32</v>
      </c>
      <c r="M7" s="10">
        <v>80</v>
      </c>
    </row>
    <row r="8" spans="1:13" ht="15" thickBot="1">
      <c r="A8" s="3">
        <v>3</v>
      </c>
      <c r="B8" s="4" t="s">
        <v>28</v>
      </c>
      <c r="C8" s="4" t="s">
        <v>29</v>
      </c>
      <c r="D8" s="3">
        <v>102</v>
      </c>
      <c r="E8" s="4" t="s">
        <v>23</v>
      </c>
      <c r="F8" s="4" t="s">
        <v>24</v>
      </c>
      <c r="G8" s="4" t="s">
        <v>25</v>
      </c>
      <c r="H8" s="4"/>
      <c r="I8" s="4"/>
      <c r="J8" s="5">
        <v>45202</v>
      </c>
      <c r="K8" s="3">
        <v>202</v>
      </c>
      <c r="L8" s="4" t="s">
        <v>26</v>
      </c>
      <c r="M8" s="9">
        <v>91</v>
      </c>
    </row>
    <row r="10" spans="1:13">
      <c r="C10" s="15"/>
      <c r="D10" t="s">
        <v>40</v>
      </c>
    </row>
    <row r="11" spans="1:13">
      <c r="G11" t="s">
        <v>45</v>
      </c>
    </row>
    <row r="12" spans="1:13">
      <c r="A12" t="s">
        <v>55</v>
      </c>
      <c r="C12" s="17" t="s">
        <v>38</v>
      </c>
      <c r="G12" s="17" t="s">
        <v>44</v>
      </c>
      <c r="K12" s="17" t="s">
        <v>63</v>
      </c>
    </row>
    <row r="13" spans="1:13">
      <c r="A13" t="s">
        <v>56</v>
      </c>
      <c r="C13" s="16" t="s">
        <v>0</v>
      </c>
      <c r="D13" s="11" t="s">
        <v>1</v>
      </c>
      <c r="G13" s="16" t="s">
        <v>3</v>
      </c>
      <c r="H13" s="16" t="s">
        <v>62</v>
      </c>
      <c r="K13" s="16" t="s">
        <v>62</v>
      </c>
      <c r="L13" s="11" t="s">
        <v>34</v>
      </c>
      <c r="M13" s="11" t="s">
        <v>35</v>
      </c>
    </row>
    <row r="14" spans="1:13">
      <c r="C14" s="12">
        <v>1</v>
      </c>
      <c r="D14" s="12" t="s">
        <v>13</v>
      </c>
      <c r="G14" s="12">
        <v>101</v>
      </c>
      <c r="H14" s="12">
        <v>1</v>
      </c>
      <c r="K14" s="12">
        <v>1</v>
      </c>
      <c r="L14" s="12" t="s">
        <v>16</v>
      </c>
      <c r="M14" s="12" t="s">
        <v>17</v>
      </c>
    </row>
    <row r="15" spans="1:13">
      <c r="C15" s="12">
        <v>2</v>
      </c>
      <c r="D15" s="12" t="s">
        <v>21</v>
      </c>
      <c r="E15" t="s">
        <v>48</v>
      </c>
      <c r="G15" s="12">
        <v>101</v>
      </c>
      <c r="H15" s="12">
        <v>2</v>
      </c>
      <c r="K15" s="12">
        <v>2</v>
      </c>
      <c r="L15" s="12" t="s">
        <v>18</v>
      </c>
      <c r="M15" s="12" t="s">
        <v>19</v>
      </c>
    </row>
    <row r="16" spans="1:13">
      <c r="A16" t="s">
        <v>41</v>
      </c>
      <c r="C16" s="12">
        <v>3</v>
      </c>
      <c r="D16" s="12" t="s">
        <v>28</v>
      </c>
      <c r="E16" t="s">
        <v>49</v>
      </c>
      <c r="G16" s="12">
        <v>102</v>
      </c>
      <c r="H16" s="12">
        <v>3</v>
      </c>
      <c r="K16" s="12">
        <v>3</v>
      </c>
      <c r="L16" s="12" t="s">
        <v>24</v>
      </c>
      <c r="M16" s="12" t="s">
        <v>25</v>
      </c>
    </row>
    <row r="17" spans="1:16">
      <c r="A17" t="s">
        <v>42</v>
      </c>
      <c r="D17" s="18" t="s">
        <v>56</v>
      </c>
      <c r="E17" t="s">
        <v>50</v>
      </c>
      <c r="G17" t="s">
        <v>65</v>
      </c>
    </row>
    <row r="18" spans="1:16">
      <c r="A18" s="17" t="s">
        <v>39</v>
      </c>
      <c r="E18" s="17" t="s">
        <v>47</v>
      </c>
      <c r="F18" t="s">
        <v>67</v>
      </c>
      <c r="K18" t="s">
        <v>85</v>
      </c>
      <c r="P18" s="1"/>
    </row>
    <row r="19" spans="1:16">
      <c r="A19" s="16" t="s">
        <v>0</v>
      </c>
      <c r="B19" s="16" t="s">
        <v>2</v>
      </c>
      <c r="E19" s="16" t="s">
        <v>0</v>
      </c>
      <c r="F19" s="16" t="s">
        <v>3</v>
      </c>
      <c r="G19" s="21"/>
      <c r="H19" s="17" t="s">
        <v>43</v>
      </c>
      <c r="K19" t="s">
        <v>77</v>
      </c>
      <c r="P19" s="1"/>
    </row>
    <row r="20" spans="1:16">
      <c r="A20" s="12">
        <v>1</v>
      </c>
      <c r="B20" s="12" t="s">
        <v>14</v>
      </c>
      <c r="E20" s="12">
        <v>1</v>
      </c>
      <c r="F20" s="12">
        <v>101</v>
      </c>
      <c r="H20" s="16" t="s">
        <v>3</v>
      </c>
      <c r="I20" s="11" t="s">
        <v>4</v>
      </c>
      <c r="K20" t="s">
        <v>78</v>
      </c>
      <c r="P20" s="1"/>
    </row>
    <row r="21" spans="1:16">
      <c r="A21" s="12">
        <v>2</v>
      </c>
      <c r="B21" s="12" t="s">
        <v>22</v>
      </c>
      <c r="E21" s="12">
        <v>2</v>
      </c>
      <c r="F21" s="12">
        <v>101</v>
      </c>
      <c r="G21" s="20" t="s">
        <v>57</v>
      </c>
      <c r="H21" s="12">
        <v>101</v>
      </c>
      <c r="I21" s="12" t="s">
        <v>15</v>
      </c>
      <c r="K21" t="s">
        <v>79</v>
      </c>
      <c r="P21" s="1"/>
    </row>
    <row r="22" spans="1:16">
      <c r="A22" s="12">
        <v>3</v>
      </c>
      <c r="B22" s="12" t="s">
        <v>29</v>
      </c>
      <c r="E22" s="12">
        <v>3</v>
      </c>
      <c r="F22" s="12">
        <v>101</v>
      </c>
      <c r="H22" s="12">
        <v>102</v>
      </c>
      <c r="I22" s="12" t="s">
        <v>23</v>
      </c>
      <c r="K22" t="s">
        <v>80</v>
      </c>
      <c r="P22" s="1"/>
    </row>
    <row r="23" spans="1:16">
      <c r="E23" s="12">
        <v>1</v>
      </c>
      <c r="F23" s="12">
        <v>102</v>
      </c>
      <c r="K23" t="s">
        <v>82</v>
      </c>
      <c r="P23" s="1"/>
    </row>
    <row r="24" spans="1:16">
      <c r="E24" s="12">
        <v>2</v>
      </c>
      <c r="F24" s="12">
        <v>102</v>
      </c>
      <c r="K24" t="s">
        <v>83</v>
      </c>
      <c r="P24" s="1"/>
    </row>
    <row r="25" spans="1:16">
      <c r="C25" s="19" t="s">
        <v>61</v>
      </c>
      <c r="E25" s="12">
        <v>3</v>
      </c>
      <c r="F25" s="12">
        <v>102</v>
      </c>
      <c r="K25" t="s">
        <v>84</v>
      </c>
      <c r="P25" s="1"/>
    </row>
    <row r="26" spans="1:16">
      <c r="C26" t="s">
        <v>48</v>
      </c>
      <c r="H26" s="20" t="s">
        <v>59</v>
      </c>
    </row>
    <row r="27" spans="1:16">
      <c r="C27" t="s">
        <v>49</v>
      </c>
    </row>
    <row r="28" spans="1:16">
      <c r="C28" t="s">
        <v>54</v>
      </c>
      <c r="H28" t="s">
        <v>52</v>
      </c>
      <c r="J28" t="s">
        <v>66</v>
      </c>
    </row>
    <row r="29" spans="1:16">
      <c r="B29" s="17" t="s">
        <v>53</v>
      </c>
      <c r="G29" s="17" t="s">
        <v>51</v>
      </c>
      <c r="I29" t="s">
        <v>81</v>
      </c>
      <c r="K29" s="17" t="s">
        <v>64</v>
      </c>
    </row>
    <row r="30" spans="1:16">
      <c r="B30" s="16" t="s">
        <v>0</v>
      </c>
      <c r="C30" s="16" t="s">
        <v>10</v>
      </c>
      <c r="D30" s="11" t="s">
        <v>12</v>
      </c>
      <c r="F30" s="16" t="s">
        <v>69</v>
      </c>
      <c r="G30" s="11" t="s">
        <v>3</v>
      </c>
      <c r="H30" s="11" t="s">
        <v>9</v>
      </c>
      <c r="I30" s="11" t="s">
        <v>10</v>
      </c>
      <c r="K30" s="16" t="s">
        <v>10</v>
      </c>
      <c r="L30" s="11" t="s">
        <v>11</v>
      </c>
    </row>
    <row r="31" spans="1:16">
      <c r="B31" s="12">
        <v>1</v>
      </c>
      <c r="C31" s="12">
        <v>201</v>
      </c>
      <c r="D31" s="13">
        <v>85</v>
      </c>
      <c r="F31" s="12">
        <v>1</v>
      </c>
      <c r="G31" s="12">
        <v>101</v>
      </c>
      <c r="H31" s="14">
        <v>45200</v>
      </c>
      <c r="I31" s="12">
        <v>201</v>
      </c>
      <c r="K31" s="12">
        <v>201</v>
      </c>
      <c r="L31" s="12" t="s">
        <v>20</v>
      </c>
    </row>
    <row r="32" spans="1:16">
      <c r="B32" s="12">
        <v>2</v>
      </c>
      <c r="C32" s="12">
        <v>201</v>
      </c>
      <c r="D32" s="13">
        <v>90</v>
      </c>
      <c r="F32" s="12">
        <v>2</v>
      </c>
      <c r="G32" s="12">
        <v>102</v>
      </c>
      <c r="H32" s="14">
        <v>45202</v>
      </c>
      <c r="I32" s="12">
        <v>202</v>
      </c>
      <c r="K32" s="12">
        <v>202</v>
      </c>
      <c r="L32" s="12" t="s">
        <v>26</v>
      </c>
    </row>
    <row r="33" spans="2:12">
      <c r="B33" s="12">
        <v>1</v>
      </c>
      <c r="C33" s="12">
        <v>202</v>
      </c>
      <c r="D33" s="13">
        <v>88.2</v>
      </c>
      <c r="F33" s="12">
        <v>2</v>
      </c>
      <c r="G33" s="12">
        <v>102</v>
      </c>
      <c r="H33" s="14">
        <v>45202</v>
      </c>
      <c r="I33" s="12">
        <v>203</v>
      </c>
      <c r="K33" s="12">
        <v>203</v>
      </c>
      <c r="L33" s="12" t="s">
        <v>30</v>
      </c>
    </row>
    <row r="34" spans="2:12">
      <c r="B34" s="12">
        <v>3</v>
      </c>
      <c r="C34" s="12">
        <v>201</v>
      </c>
      <c r="D34" s="13">
        <v>92</v>
      </c>
      <c r="F34" s="12">
        <v>3</v>
      </c>
      <c r="G34" s="12">
        <v>101</v>
      </c>
      <c r="H34" s="14">
        <v>45204</v>
      </c>
      <c r="I34" s="12">
        <v>204</v>
      </c>
      <c r="K34" s="12">
        <v>204</v>
      </c>
      <c r="L34" s="12" t="s">
        <v>32</v>
      </c>
    </row>
    <row r="35" spans="2:12">
      <c r="B35" s="12">
        <v>2</v>
      </c>
      <c r="C35" s="12">
        <v>203</v>
      </c>
      <c r="D35" s="13">
        <v>87</v>
      </c>
    </row>
    <row r="36" spans="2:12">
      <c r="B36" s="12">
        <v>1</v>
      </c>
      <c r="C36" s="12">
        <v>204</v>
      </c>
      <c r="D36" s="13">
        <v>80</v>
      </c>
    </row>
    <row r="37" spans="2:12">
      <c r="B37" s="12">
        <v>3</v>
      </c>
      <c r="C37" s="12">
        <v>202</v>
      </c>
      <c r="D37" s="13">
        <v>91</v>
      </c>
    </row>
    <row r="38" spans="2:12">
      <c r="G38" s="22" t="s">
        <v>60</v>
      </c>
    </row>
    <row r="39" spans="2:12">
      <c r="E39" t="s">
        <v>68</v>
      </c>
    </row>
  </sheetData>
  <autoFilter ref="A1:M8" xr:uid="{AAE0D54F-3DCD-4924-A670-FD2A92C6779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не нормалізована таблиця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>Bogdan</cp:lastModifiedBy>
  <dcterms:created xsi:type="dcterms:W3CDTF">2026-03-20T08:26:31Z</dcterms:created>
  <dcterms:modified xsi:type="dcterms:W3CDTF">2026-03-20T16:56:33Z</dcterms:modified>
</cp:coreProperties>
</file>